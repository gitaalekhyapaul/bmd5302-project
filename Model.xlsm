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778F59F9-99F4-8D4E-97D5-E34759CB21C9}" xr6:coauthVersionLast="47" xr6:coauthVersionMax="47" xr10:uidLastSave="{00000000-0000-0000-0000-000000000000}"/>
  <bookViews>
    <workbookView xWindow="18000" yWindow="800" windowWidth="18000" windowHeight="22580" firstSheet="1" activeTab="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functionGroups builtInGroupCount="19"/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'12_Optimizer'!$B$3:$B$11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'12_Optimizer'!$B$12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3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</definedName>
    <definedName name="solver_rhs1" localSheetId="1" hidden="1">0.0335358003490822</definedName>
    <definedName name="solver_rhs1" localSheetId="8" hidden="1">1</definedName>
    <definedName name="solver_rhs2" localSheetId="11" hidden="1">0</definedName>
    <definedName name="solver_rhs2" localSheetId="1" hidden="1">0</definedName>
    <definedName name="solver_rhs2" localSheetId="8" hidden="1">0.001444</definedName>
    <definedName name="solver_rhs3" localSheetId="11" hidden="1">-1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<sst xmlns="http://schemas.openxmlformats.org/spreadsheetml/2006/main" count="3495" uniqueCount="1393">
  <si>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</si>
  <si>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</si>
  <si>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</si>
  <si>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</si>
  <si>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</si>
  <si>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</si>
  <si>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</si>
  <si>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</si>
  <si>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</si>
  <si>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</si>
  <si>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</si>
  <si>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</si>
  <si>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</si>
  <si>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</si>
  <si>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</si>
  <si>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</si>
  <si>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</si>
  <si>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</si>
  <si>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</si>
  <si>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</si>
  <si>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</si>
  <si>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</si>
  <si>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</si>
  <si>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</si>
  <si>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</si>
  <si>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</si>
  <si>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</si>
  <si>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</si>
  <si>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</si>
  <si>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</si>
  <si>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</si>
  <si>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</si>
  <si>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</si>
  <si>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</si>
  <si>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</si>
  <si>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</si>
  <si>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</si>
  <si>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</si>
  <si>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</si>
  <si>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</si>
  <si>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</si>
  <si>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</si>
  <si>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</si>
  <si>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</si>
  <si>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</si>
  <si>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</si>
  <si>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</si>
  <si>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</si>
  <si>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</si>
  <si>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</si>
  <si>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</si>
  <si>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</si>
  <si>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</si>
  <si>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</si>
  <si>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</si>
  <si>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</si>
  <si>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</si>
  <si>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</si>
  <si>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</si>
  <si>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</si>
  <si>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</si>
  <si>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</si>
  <si>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</si>
  <si>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</si>
  <si>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</si>
  <si>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</si>
  <si>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</si>
  <si>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</si>
  <si>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</si>
  <si>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</si>
  <si>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</si>
  <si>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</si>
  <si>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</si>
  <si>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</si>
  <si>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</si>
  <si>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</si>
  <si>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</si>
  <si>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</si>
  <si>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</si>
  <si>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</si>
  <si>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</si>
  <si>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</si>
  <si>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</si>
  <si>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</si>
  <si>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</si>
  <si>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</si>
  <si>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</si>
  <si>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</si>
  <si>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</si>
  <si>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</si>
  <si>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</si>
  <si>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</si>
  <si>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</si>
  <si>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</si>
  <si>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</si>
  <si>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</si>
  <si>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</si>
  <si>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</si>
  <si>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</si>
  <si>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</si>
  <si>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</si>
  <si>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</si>
  <si>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</si>
  <si>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</si>
  <si>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</si>
  <si>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</si>
  <si>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</si>
  <si>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</si>
  <si>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</si>
  <si>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</si>
  <si>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</si>
  <si>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</si>
  <si>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</si>
  <si>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</si>
  <si>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</si>
  <si>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</si>
  <si>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</si>
  <si>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</si>
  <si>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</si>
  <si>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</si>
  <si>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</si>
  <si>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</si>
  <si>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</si>
  <si>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</si>
  <si>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</si>
  <si>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</si>
  <si>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</si>
  <si>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</si>
  <si>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</si>
  <si>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</si>
  <si>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</si>
  <si>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</si>
  <si>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</si>
  <si>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</si>
  <si>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</si>
  <si>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</si>
  <si>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</si>
  <si>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</si>
  <si>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</si>
  <si>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</si>
  <si>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</si>
  <si>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</si>
  <si>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</si>
  <si>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</si>
  <si>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</si>
  <si>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</si>
  <si>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</si>
  <si>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</si>
  <si>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</si>
  <si>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</si>
  <si>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</si>
  <si>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</si>
  <si>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</si>
  <si>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</si>
  <si>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</si>
  <si>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</si>
  <si>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</si>
  <si>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</si>
  <si>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</si>
  <si>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</si>
  <si>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</si>
  <si>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</si>
  <si>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</si>
  <si>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</si>
  <si>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</si>
  <si>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</si>
  <si>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</si>
  <si>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</si>
  <si>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</si>
  <si>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</si>
  <si>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</si>
  <si>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</si>
  <si>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</si>
  <si>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</si>
  <si>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</si>
  <si>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</si>
  <si>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</si>
  <si>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</si>
  <si>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</si>
  <si>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</si>
  <si>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</si>
  <si>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</si>
  <si>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</si>
  <si>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</si>
  <si>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</si>
  <si>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</si>
  <si>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</si>
  <si>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</si>
  <si>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</si>
  <si>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</si>
  <si>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</si>
  <si>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</si>
  <si>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</si>
  <si>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</si>
  <si>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</si>
  <si>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</si>
  <si>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</si>
  <si>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</si>
  <si>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</si>
  <si>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</si>
  <si>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</si>
  <si>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</si>
  <si>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</si>
  <si>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</si>
  <si>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</si>
  <si>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</si>
  <si>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</si>
  <si>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</si>
  <si>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</si>
  <si>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</si>
  <si>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</si>
  <si>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</si>
  <si>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</si>
  <si>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</si>
  <si>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</si>
  <si>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</si>
  <si>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</si>
  <si>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</si>
  <si>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</si>
  <si>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</si>
  <si>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</si>
  <si>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</si>
  <si>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</si>
  <si>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</si>
  <si>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</si>
  <si>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</si>
  <si>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</si>
  <si>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</si>
  <si>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</si>
  <si>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</si>
  <si>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</si>
  <si>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</si>
  <si>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</si>
  <si>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</si>
  <si>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</si>
  <si>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</si>
  <si>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</si>
  <si>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</si>
  <si>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</si>
  <si>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</si>
  <si>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</si>
  <si>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</si>
  <si>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</si>
  <si>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</si>
  <si>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</si>
  <si>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</si>
  <si>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</si>
  <si>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</si>
  <si>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</si>
  <si>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</si>
  <si>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</si>
  <si>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</si>
  <si>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</si>
  <si>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</si>
  <si>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</si>
  <si>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</si>
  <si>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</si>
  <si>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</si>
  <si>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</si>
  <si>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</si>
  <si>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</si>
  <si>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</si>
  <si>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</si>
  <si>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</si>
  <si>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</si>
  <si>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</si>
  <si>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</si>
  <si>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</si>
  <si>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</si>
  <si>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</si>
  <si>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</si>
  <si>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</si>
  <si>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</si>
  <si>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</si>
  <si>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</si>
  <si>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</si>
  <si>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</si>
  <si>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</si>
  <si>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</si>
  <si>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</si>
  <si>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</si>
  <si>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</si>
  <si>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</si>
  <si>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</si>
  <si>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</si>
  <si>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</si>
  <si>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</si>
  <si>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</si>
  <si>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</si>
  <si>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</si>
  <si>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</si>
  <si>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</si>
  <si>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</si>
  <si>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</si>
  <si>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</si>
  <si>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</si>
  <si>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</si>
  <si>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</si>
  <si>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</si>
  <si>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</si>
  <si>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</si>
  <si>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</si>
  <si>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</si>
  <si>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</si>
  <si>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</si>
  <si>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</si>
  <si>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</si>
  <si>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</si>
  <si>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</si>
  <si>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</si>
  <si>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</si>
  <si>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</si>
  <si>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</si>
  <si>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</si>
  <si>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</si>
  <si>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</si>
  <si>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</si>
  <si>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</si>
  <si>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</si>
  <si>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</si>
  <si>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</si>
  <si>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</si>
  <si>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</si>
  <si>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</si>
  <si>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</si>
  <si>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</si>
  <si>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</si>
  <si>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</si>
  <si>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</si>
  <si>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</si>
  <si>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</si>
  <si>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</si>
  <si>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</si>
  <si>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</si>
  <si>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</si>
  <si>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</si>
  <si>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</si>
  <si>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</si>
  <si>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</si>
  <si>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</si>
  <si>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</si>
  <si>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</si>
  <si>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</si>
  <si>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</si>
  <si>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</si>
  <si>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</si>
  <si>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</si>
  <si>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</si>
  <si>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</si>
  <si>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</si>
  <si>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</si>
  <si>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</si>
  <si>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</si>
  <si>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</si>
  <si>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</si>
  <si>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</si>
  <si>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</si>
  <si>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</si>
  <si>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</si>
  <si>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</si>
  <si>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</si>
  <si>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</si>
  <si>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</si>
  <si>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</si>
  <si>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</si>
  <si>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</si>
  <si>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</si>
  <si>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</si>
  <si>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</si>
  <si>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</si>
  <si>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</si>
  <si>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</si>
  <si>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</si>
  <si>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</si>
  <si>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</si>
  <si>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</si>
  <si>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</si>
  <si>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</si>
  <si>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</si>
  <si>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</si>
  <si>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</si>
  <si>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</si>
  <si>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</si>
  <si>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</si>
  <si>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</si>
  <si>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</si>
  <si>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</si>
  <si>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</si>
  <si>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</si>
  <si>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</si>
  <si>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</si>
  <si>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</si>
  <si>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</si>
  <si>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</si>
  <si>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</si>
  <si>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</si>
  <si>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</si>
  <si>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</si>
  <si>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</si>
  <si>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</si>
  <si>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</si>
  <si>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</si>
  <si>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</si>
  <si>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</si>
  <si>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</si>
  <si>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</si>
  <si>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</si>
  <si>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</si>
  <si>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</si>
  <si>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</si>
  <si>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</si>
  <si>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</si>
  <si>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</si>
  <si>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</si>
  <si>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</si>
  <si>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</si>
  <si>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</si>
  <si>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</si>
  <si>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</si>
  <si>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</si>
  <si>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</si>
  <si>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</si>
  <si>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</si>
  <si>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</si>
  <si>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</si>
  <si>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</si>
  <si>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</si>
  <si>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</si>
  <si>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</si>
  <si>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</si>
  <si>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</si>
  <si>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</si>
  <si>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</si>
  <si>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</si>
  <si>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</si>
  <si>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</si>
  <si>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</si>
  <si>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</si>
  <si>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</si>
  <si>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</si>
  <si>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</si>
  <si>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</si>
  <si>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</si>
  <si>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</si>
  <si>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</si>
  <si>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</si>
  <si>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</si>
  <si>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</si>
  <si>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</si>
  <si>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</si>
  <si>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</si>
  <si>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</si>
  <si>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</si>
  <si>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</si>
  <si>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</si>
  <si>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</si>
  <si>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</si>
  <si>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</si>
  <si>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</si>
  <si>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</si>
  <si>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</si>
  <si>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</si>
  <si>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</si>
  <si>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</si>
  <si>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</si>
  <si>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</si>
  <si>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</si>
  <si>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</si>
  <si>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</si>
  <si>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</si>
  <si>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</si>
  <si>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</si>
  <si>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</si>
  <si>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</si>
  <si>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</si>
  <si>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</si>
  <si>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</si>
  <si>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</si>
  <si>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</si>
  <si>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</si>
  <si>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</si>
  <si>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</si>
  <si>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</si>
  <si>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</si>
  <si>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</si>
  <si>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</si>
  <si>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</si>
  <si>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</si>
  <si>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</si>
  <si>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</si>
  <si>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</si>
  <si>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</si>
  <si>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</si>
  <si>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</si>
  <si>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</si>
  <si>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</si>
  <si>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</si>
  <si>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</si>
  <si>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</si>
  <si>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</si>
  <si>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</si>
  <si>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</si>
  <si>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</si>
  <si>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</si>
  <si>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</si>
  <si>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</si>
  <si>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</si>
  <si>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</si>
  <si>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</si>
  <si>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</si>
  <si>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</si>
  <si>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</si>
  <si>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</si>
  <si>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</si>
  <si>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</si>
  <si>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</si>
  <si>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</si>
  <si>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</si>
  <si>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</si>
  <si>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</si>
  <si>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</si>
  <si>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</si>
  <si>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</si>
  <si>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</si>
  <si>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</si>
  <si>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</si>
  <si>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</si>
  <si>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</si>
  <si>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</si>
  <si>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</si>
  <si>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</si>
  <si>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</si>
  <si>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</si>
  <si>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</si>
  <si>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</si>
  <si>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</si>
  <si>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</si>
  <si>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</si>
  <si>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</si>
  <si>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</si>
  <si>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</si>
  <si>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</si>
  <si>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</si>
  <si>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</si>
  <si>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</si>
  <si>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</si>
  <si>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</si>
  <si>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</si>
  <si>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</si>
  <si>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</si>
  <si>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</si>
  <si>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</si>
  <si>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</si>
  <si>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</si>
  <si>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</si>
  <si>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</si>
  <si>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</si>
  <si>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</si>
  <si>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</si>
  <si>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</si>
  <si>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</si>
  <si>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</si>
  <si>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</si>
  <si>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</si>
  <si>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</si>
  <si>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</si>
  <si>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</si>
  <si>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</si>
  <si>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</si>
  <si>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</si>
  <si>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</si>
  <si>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</si>
  <si>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</si>
  <si>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</si>
  <si>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</si>
  <si>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</si>
  <si>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</si>
  <si>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</si>
  <si>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</si>
  <si>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</si>
  <si>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</si>
  <si>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</si>
  <si>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</si>
  <si>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</si>
  <si>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</si>
  <si>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</si>
  <si>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</si>
  <si>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</si>
  <si>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</si>
  <si>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</si>
  <si>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</si>
  <si>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</si>
  <si>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</si>
  <si>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</si>
  <si>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</si>
  <si>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</si>
  <si>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</si>
  <si>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</si>
  <si>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</si>
  <si>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</si>
  <si>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</si>
  <si>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</si>
  <si>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</si>
  <si>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</si>
  <si>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</si>
  <si>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</si>
  <si>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</si>
  <si>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</si>
  <si>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</si>
  <si>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</si>
  <si>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</si>
  <si>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</si>
  <si>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</si>
  <si>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</si>
  <si>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</si>
  <si>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</si>
  <si>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</si>
  <si>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</si>
  <si>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</si>
  <si>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</si>
  <si>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</si>
  <si>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</si>
  <si>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</si>
  <si>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</si>
  <si>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</si>
  <si>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</si>
  <si>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</si>
  <si>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</si>
  <si>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</si>
  <si>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</si>
  <si>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</si>
  <si>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</si>
  <si>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</si>
  <si>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</si>
  <si>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</si>
  <si>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</si>
  <si>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</si>
  <si>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</si>
  <si>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</si>
  <si>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</si>
  <si>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</si>
  <si>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</si>
  <si>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</si>
  <si>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</si>
  <si>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</si>
  <si>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</si>
  <si>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</si>
  <si>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</si>
  <si>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</si>
  <si>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</si>
  <si>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</si>
  <si>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</si>
  <si>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</si>
  <si>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</si>
  <si>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</si>
  <si>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</si>
  <si>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</si>
  <si>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</si>
  <si>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</si>
  <si>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</si>
  <si>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</si>
  <si>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</si>
  <si>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</si>
  <si>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</si>
  <si>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</si>
  <si>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</si>
  <si>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</si>
  <si>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</si>
  <si>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</si>
  <si>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</si>
  <si>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</si>
  <si>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</si>
  <si>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</si>
  <si>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</si>
  <si>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</si>
  <si>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</si>
  <si>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</si>
  <si>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</si>
  <si>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</si>
  <si>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</si>
  <si>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</si>
  <si>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</si>
  <si>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</si>
  <si>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</si>
  <si>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</si>
  <si>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</si>
  <si>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</si>
  <si>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</si>
  <si>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</si>
  <si>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</si>
  <si>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</si>
  <si>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</si>
  <si>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</si>
  <si>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</si>
  <si>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</si>
  <si>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</si>
  <si>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</si>
  <si>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</si>
  <si>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</si>
  <si>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</si>
  <si>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</si>
  <si>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</si>
  <si>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</si>
  <si>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</si>
  <si>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</si>
  <si>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</si>
  <si>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</si>
  <si>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</si>
  <si>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</si>
  <si>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</si>
  <si>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</si>
  <si>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</si>
  <si>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</si>
  <si>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</si>
  <si>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</si>
  <si>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</si>
  <si>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</si>
  <si>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</si>
  <si>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</si>
  <si>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</si>
  <si>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</si>
  <si>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</si>
  <si>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</si>
  <si>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</si>
  <si>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</si>
  <si>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</si>
  <si>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</si>
  <si>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</si>
  <si>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</si>
  <si>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</si>
  <si>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</si>
  <si>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</si>
  <si>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</si>
  <si>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</si>
  <si>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</si>
  <si>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</si>
  <si>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</si>
  <si>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</si>
  <si>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</si>
  <si>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</si>
  <si>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</si>
  <si>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</si>
  <si>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</si>
  <si>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</si>
  <si>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</si>
  <si>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</si>
  <si>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</si>
  <si>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</si>
  <si>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</si>
  <si>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</si>
  <si>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</si>
  <si>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</si>
  <si>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</si>
  <si>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</si>
  <si>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</si>
  <si>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</si>
  <si>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</si>
  <si>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</si>
  <si>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</si>
  <si>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</si>
  <si>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</si>
  <si>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</si>
  <si>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</si>
  <si>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</si>
  <si>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</si>
  <si>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</si>
  <si>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</si>
  <si>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</si>
  <si>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</si>
  <si>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</si>
  <si>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</si>
  <si>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</si>
  <si>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</si>
  <si>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</si>
  <si>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</si>
  <si>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</si>
  <si>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</si>
  <si>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</si>
  <si>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</si>
  <si>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</si>
  <si>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</si>
  <si>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</si>
  <si>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</si>
  <si>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</si>
  <si>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</si>
  <si>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</si>
  <si>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</si>
  <si>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</si>
  <si>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</si>
  <si>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</si>
  <si>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</si>
  <si>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</si>
  <si>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</si>
  <si>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</si>
  <si>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</si>
  <si>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</si>
  <si>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</si>
  <si>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</si>
  <si>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</si>
  <si>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</si>
  <si>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</si>
  <si>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</si>
  <si>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</si>
  <si>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</si>
  <si>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</si>
  <si>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</si>
  <si>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</si>
  <si>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</si>
  <si>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</si>
  <si>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</si>
  <si>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</si>
  <si>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</si>
  <si>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</si>
  <si>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</si>
  <si>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</si>
  <si>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</si>
  <si>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</si>
  <si>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</si>
  <si>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</si>
  <si>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</si>
  <si>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</si>
  <si>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</si>
  <si>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</si>
  <si>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</si>
  <si>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</si>
  <si>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</si>
  <si>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</si>
  <si>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</si>
  <si>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</si>
  <si>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</si>
  <si>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</si>
  <si>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</si>
  <si>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</si>
  <si>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</si>
  <si>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</si>
  <si>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</si>
  <si>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</si>
  <si>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</si>
  <si>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</si>
  <si>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</si>
  <si>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</si>
  <si>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</si>
  <si>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</si>
  <si>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</si>
  <si>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</si>
  <si>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</si>
  <si>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</si>
  <si>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</si>
  <si>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</si>
  <si>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</si>
  <si>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</si>
  <si>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</si>
  <si>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</si>
  <si>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</si>
  <si>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</si>
  <si>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</si>
  <si>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</si>
  <si>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</si>
  <si>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</si>
  <si>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</si>
  <si>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</si>
  <si>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</si>
  <si>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</si>
  <si>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</si>
  <si>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</si>
  <si>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</si>
  <si>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</si>
  <si>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</si>
  <si>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</si>
  <si>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</si>
  <si>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</si>
  <si>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</si>
  <si>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</si>
  <si>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</si>
  <si>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</si>
  <si>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</si>
  <si>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</si>
  <si>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</si>
  <si>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</si>
  <si>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</si>
  <si>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</si>
  <si>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</si>
  <si>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</si>
  <si>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</si>
  <si>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</si>
  <si>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</si>
  <si>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</si>
  <si>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</si>
  <si>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</si>
  <si>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</si>
  <si>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</si>
  <si>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</si>
  <si>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</si>
  <si>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</si>
  <si>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</si>
  <si>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</si>
  <si>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</si>
  <si>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</si>
  <si>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</si>
  <si>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</si>
  <si>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</si>
  <si>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</si>
  <si>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</si>
  <si>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</si>
  <si>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</si>
  <si>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</si>
  <si>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</si>
  <si>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</si>
  <si>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</si>
  <si>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</si>
  <si>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</si>
  <si>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</si>
  <si>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</si>
  <si>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</si>
  <si>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</si>
  <si>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</si>
  <si>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</si>
  <si>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</si>
  <si>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</si>
  <si>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</si>
  <si>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</si>
  <si>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</si>
  <si>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</si>
  <si>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</si>
  <si>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</si>
  <si>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</si>
  <si>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</si>
  <si>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</si>
  <si>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</si>
  <si>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</si>
  <si>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</si>
  <si>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</si>
  <si>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</si>
  <si>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</si>
  <si>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</si>
  <si>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</si>
  <si>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</si>
  <si>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</si>
  <si>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</si>
  <si>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</si>
  <si>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</si>
  <si>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</si>
  <si>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</si>
  <si>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</si>
  <si>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</si>
  <si>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</si>
  <si>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</si>
  <si>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</si>
  <si>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</si>
  <si>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</si>
  <si>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</si>
  <si>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</si>
  <si>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</si>
  <si>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</si>
  <si>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</si>
  <si>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</si>
  <si>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</si>
  <si>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</si>
  <si>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</si>
  <si>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</si>
  <si>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</si>
  <si>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</si>
  <si>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</si>
  <si>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</si>
  <si>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</si>
  <si>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</si>
  <si>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</si>
  <si>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</si>
  <si>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</si>
  <si>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</si>
  <si>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</si>
  <si>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</si>
  <si>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</si>
  <si>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</si>
  <si>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</si>
  <si>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</si>
  <si>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</si>
  <si>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</si>
  <si>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</si>
  <si>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</si>
  <si>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</si>
  <si>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</si>
  <si>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</si>
  <si>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</si>
  <si>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</si>
  <si>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</si>
  <si>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</si>
  <si>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</si>
  <si>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</si>
  <si>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</si>
  <si>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</si>
  <si>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</si>
  <si>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</si>
  <si>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</si>
  <si>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</si>
  <si>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</si>
  <si>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</si>
  <si>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</si>
  <si>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</si>
  <si>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</si>
  <si>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</si>
  <si>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</si>
  <si>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</si>
  <si>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</si>
  <si>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</si>
  <si>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</si>
  <si>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</si>
  <si>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</si>
  <si>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</si>
  <si>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</si>
  <si>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</si>
  <si>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</si>
  <si>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</si>
  <si>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</si>
  <si>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</si>
  <si>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</si>
  <si>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</si>
  <si>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</si>
  <si>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</si>
  <si>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</si>
  <si>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</si>
  <si>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</si>
  <si>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</si>
  <si>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</si>
  <si>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</si>
  <si>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</si>
  <si>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</si>
  <si>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</si>
  <si>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</si>
  <si>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</si>
  <si>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</si>
  <si>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</si>
  <si>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</si>
  <si>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</si>
  <si>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</si>
  <si>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</si>
  <si>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</si>
  <si>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</si>
  <si>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</si>
  <si>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</si>
  <si>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</si>
  <si>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</si>
  <si>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</si>
  <si>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</si>
  <si>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</si>
  <si>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</si>
  <si>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</si>
  <si>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</si>
  <si>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</si>
  <si>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</si>
  <si>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</si>
  <si>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</si>
  <si>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</si>
  <si>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</si>
  <si>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</si>
  <si>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</si>
  <si>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</si>
  <si>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</si>
  <si>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</si>
  <si>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</si>
  <si>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</si>
  <si>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</si>
  <si>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</si>
  <si>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</si>
  <si>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</si>
  <si>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</si>
  <si>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</si>
  <si>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</si>
  <si>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</si>
  <si>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</si>
  <si>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</si>
  <si>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</si>
  <si>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</si>
  <si>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</si>
  <si>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</si>
  <si>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</si>
  <si>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</si>
  <si>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</si>
  <si>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</si>
  <si>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</si>
  <si>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</si>
  <si>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</si>
  <si>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</si>
  <si>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</si>
  <si>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</si>
  <si>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</si>
  <si>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</si>
  <si>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</si>
  <si>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</si>
  <si>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</si>
  <si>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</si>
  <si>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</si>
  <si>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</si>
  <si>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</si>
  <si>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</si>
  <si>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</si>
  <si>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</si>
  <si>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</si>
  <si>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</si>
  <si>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</si>
  <si>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</si>
  <si>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</si>
  <si>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</si>
  <si>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</si>
  <si>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</si>
  <si>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</si>
  <si>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</si>
  <si>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</si>
  <si>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</si>
  <si>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</si>
  <si>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</si>
  <si>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</si>
  <si>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</si>
  <si>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</si>
  <si>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</si>
  <si>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</si>
  <si>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</si>
  <si>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</si>
  <si>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</si>
  <si>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</si>
  <si>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</si>
  <si>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</si>
  <si>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</si>
  <si>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</si>
  <si>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</si>
  <si>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</si>
  <si>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</si>
  <si>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</si>
  <si>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</si>
  <si>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</si>
  <si>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</si>
  <si>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</si>
  <si>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</si>
  <si>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</si>
  <si>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</si>
  <si>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</si>
  <si>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</si>
  <si>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</si>
  <si>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</si>
  <si>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</si>
  <si>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</si>
  <si>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</si>
  <si>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</si>
  <si>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</si>
  <si>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</si>
  <si>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</si>
  <si>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</si>
  <si>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</si>
  <si>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</si>
  <si>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</si>
  <si>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</si>
  <si>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</si>
  <si>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</si>
  <si>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</si>
  <si>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</si>
  <si>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</si>
  <si>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</si>
  <si>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</si>
  <si>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</si>
  <si>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</si>
  <si>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</si>
  <si>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</si>
  <si>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</si>
  <si>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</si>
  <si>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</si>
  <si>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</si>
  <si>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</si>
  <si>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</si>
  <si>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</si>
  <si>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</si>
  <si>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</si>
  <si>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</si>
  <si>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</si>
  <si>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</si>
  <si>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</si>
  <si>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</si>
  <si>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</si>
  <si>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</si>
  <si>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</si>
  <si>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</si>
  <si>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</si>
  <si>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</si>
  <si>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</si>
  <si>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</si>
  <si>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</si>
  <si>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</si>
  <si>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</si>
  <si>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</si>
  <si>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</si>
  <si>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</si>
  <si>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</si>
  <si>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</si>
  <si>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</si>
  <si>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</si>
  <si>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</si>
  <si>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</si>
  <si>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</si>
  <si>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</si>
  <si>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</si>
  <si>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</si>
  <si>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</si>
  <si>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</si>
  <si>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</si>
  <si>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</si>
  <si>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</si>
  <si>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</si>
  <si>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</si>
  <si>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</si>
  <si>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</si>
  <si>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</si>
  <si>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</si>
  <si>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</si>
  <si>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</si>
  <si>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</si>
  <si>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</si>
  <si>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</si>
  <si>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</si>
  <si>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</si>
  <si>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</si>
  <si>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</si>
  <si>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</si>
  <si>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</si>
  <si>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</si>
  <si>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</si>
  <si>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</si>
  <si>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</si>
  <si>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</si>
  <si>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</si>
  <si>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</si>
  <si>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</si>
  <si>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</si>
  <si>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</si>
  <si>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</si>
  <si>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</si>
  <si>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</si>
  <si>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</si>
  <si>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</si>
  <si>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</si>
  <si>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</si>
  <si>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</si>
  <si>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</si>
  <si>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</si>
  <si>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</si>
  <si>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</si>
  <si>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</si>
  <si>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</si>
  <si>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</si>
  <si>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</si>
  <si>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</si>
  <si>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</si>
  <si>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</si>
  <si>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</si>
  <si>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</si>
  <si>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</si>
  <si>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</si>
  <si>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</si>
  <si>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</si>
  <si>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</si>
  <si>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</si>
  <si>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</si>
  <si>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</si>
  <si>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</si>
  <si>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</si>
  <si>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</si>
  <si>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</si>
  <si>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</si>
  <si>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</si>
  <si>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</si>
  <si>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</si>
  <si>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</si>
  <si>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</si>
  <si>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</si>
  <si>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</si>
  <si>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</si>
  <si>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</si>
  <si>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</si>
  <si>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</si>
  <si>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</si>
  <si>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</si>
  <si>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</si>
  <si>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</si>
  <si>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</si>
  <si>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</si>
  <si>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</si>
  <si>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</si>
  <si>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</si>
  <si>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</si>
  <si>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</si>
  <si>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</si>
  <si>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</si>
  <si>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</si>
  <si>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</si>
  <si>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</si>
  <si>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</si>
  <si>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</si>
  <si>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</si>
  <si>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</si>
  <si>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</si>
  <si>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</si>
  <si>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</si>
  <si>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</si>
  <si>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</si>
  <si>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</si>
  <si>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</si>
  <si>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</si>
  <si>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</si>
  <si>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</si>
  <si>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</si>
  <si>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</si>
  <si>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</si>
  <si>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</si>
  <si>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</si>
  <si>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</si>
  <si>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</si>
  <si>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</si>
  <si>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</si>
  <si>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</si>
  <si>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</si>
  <si>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</si>
  <si>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</si>
  <si>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</si>
  <si>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</si>
  <si>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</si>
  <si>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</si>
  <si>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</si>
  <si>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</si>
  <si>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</si>
  <si>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</si>
  <si>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</si>
  <si>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</si>
  <si>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</si>
  <si>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</si>
  <si>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</si>
  <si>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</si>
  <si>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</si>
  <si>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</si>
  <si>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</si>
  <si>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</si>
  <si>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</si>
  <si>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</si>
  <si>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</si>
  <si>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</si>
  <si>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</si>
  <si>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</si>
  <si>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</si>
  <si>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</si>
  <si>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</si>
  <si>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</si>
  <si>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</si>
  <si>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</si>
  <si>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</si>
  <si>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</si>
  <si>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</si>
  <si>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</si>
  <si>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</si>
  <si>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</si>
  <si>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</si>
  <si>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</si>
  <si>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</si>
  <si>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</si>
  <si>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</si>
  <si>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</si>
  <si>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</si>
  <si>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</si>
  <si>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</si>
  <si>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</si>
  <si>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</si>
  <si>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</si>
  <si>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</si>
  <si>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</si>
  <si>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</si>
  <si>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</si>
  <si>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</si>
  <si>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</si>
  <si>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</si>
  <si>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</si>
  <si>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</si>
  <si>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</si>
  <si>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</si>
  <si>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</si>
  <si>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</si>
  <si>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</si>
  <si>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No — I have a steady long-term plan   →  A = 5.00
(b)  Maybe — modest acceleration   →  A = 4.00
(c)  Yes — pushing hard   →  A = 3.00
(d)  Aggressively — willing to take big risks for early exit   →  A = 1.50</t>
  </si>
  <si>
    <t>(a)  Not at all comfortable   →  A = 8.00
(b)  Somewhat comfortable   →  A = 5.00
(c)  Very comfortable   →  A = 2.50</t>
  </si>
  <si>
    <t>(a)  Many — spouse, children, parents   →  A = 7.00
(b)  Spouse and young children   →  A = 6.00
(c)  Spouse only   →  A = 4.00
(d)  No one depends on my income   →  A = 3.00</t>
  </si>
  <si>
    <t>(a)  $500 guaranteed   →  A = 8.00
(b)  A 50% chance of $1,000   →  A = 4.00
(c)  A 25% chance of $2,000   →  A = 2.00
(d)  A 10% chance of $5,000   →  A = 1.00</t>
  </si>
  <si>
    <t>(a)  0% – 2%   →  A = 9.00
(b)  2% – 5%   →  A = 7.00
(c)  5% – 10%   →  A = 4.00
(d)  10% – 20%   →  A = 2.00
(e)  Over 20%   →  A = 1.00</t>
  </si>
  <si>
    <t>(a)  Never — this is a one-off investment   →  A = 7.00
(b)  Irregularly, in small amounts   →  A = 5.00
(c)  Monthly via automatic contributions   →  A = 3.00
(d)  I will actively build this up over decades   →  A = 2.00</t>
  </si>
  <si>
    <t>(a)  Loss   →  A = 8.00
(b)  Uncertainty   →  A = 5.00
(c)  Opportunity   →  A = 3.00
(d)  Thrill   →  A = 1.00</t>
  </si>
  <si>
    <t>(a)  Move to cash now   →  A = 8.00
(b)  Reduce equity exposure   →  A = 6.00
(c)  Stay the course   →  A = 4.00
(d)  Buy defensive stocks at a discount   →  A = 2.00</t>
  </si>
  <si>
    <t>(a)  Certificates of deposit / savings   →  A = 8.00
(b)  Broad stock-market index   →  A = 4.00
(c)  Sector fund (biotech or tech)   →  A = 2.00
(d)  A single high-growth startup   →  A = 1.00</t>
  </si>
  <si>
    <t>(a)  Short-term treasuries / money market only   →  A = 8.00
(b)  Mix of treasuries and investment-grade corporates   →  A = 5.00
(c)  Investment-grade with some high-yield   →  A = 3.00
(d)  High-yield ('junk') and emerging-market debt   →  A = 1.50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</si>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</sst>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</c:v>
                </c:pt>
                <c:pt idx="1">
                  <c:v>0.25506345334965258</c:v>
                </c:pt>
                <c:pt idx="2">
                  <c:v>0</c:v>
                </c:pt>
                <c:pt idx="3">
                  <c:v>0</c:v>
                </c:pt>
                <c:pt idx="4">
                  <c:v>1.5862611298143256E-3</c:v>
                </c:pt>
                <c:pt idx="5">
                  <c:v>0</c:v>
                </c:pt>
                <c:pt idx="6">
                  <c:v>0</c:v>
                </c:pt>
                <c:pt idx="7">
                  <c:v>0.74335028552053328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18.31%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23-4C42-B6FE-B1E0458811FB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23-4C42-B6FE-B1E0458811FB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23-4C42-B6FE-B1E0458811FB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3-4C42-B6FE-B1E0458811FB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0.18312782516341486</c:v>
              </c:pt>
            </c:numLit>
          </c:xVal>
          <c:yVal>
            <c:numLit>
              <c:formatCode>General</c:formatCode>
              <c:ptCount val="1"/>
              <c:pt idx="0">
                <c:v>0.49932100000000001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C123-4C42-B6FE-B1E0458811FB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0.18312782516341486</c:v>
              </c:pt>
            </c:numLit>
          </c:xVal>
          <c:yVal>
            <c:numLit>
              <c:formatCode>General</c:formatCode>
              <c:ptCount val="1"/>
              <c:pt idx="0">
                <c:v>0.180116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C123-4C42-B6FE-B1E04588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36127"/>
        <c:axId val="2128337919"/>
      </c:scatterChart>
      <c:valAx>
        <c:axId val="2128336127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28337919"/>
        <c:crosses val="autoZero"/>
        <c:crossBetween val="midCat"/>
      </c:valAx>
      <c:valAx>
        <c:axId val="2128337919"/>
        <c:scaling>
          <c:orientation val="minMax"/>
          <c:max val="0.5493210000000000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28336127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045255E4-0DE5-B3EB-5148-856CB1E16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D9" workbookViewId="0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44" t="s">
        <v>0</v>
      </c>
      <c r="B1" s="141"/>
      <c r="C1" s="141"/>
      <c r="D1" s="141"/>
      <c r="E1" s="141"/>
      <c r="F1" s="141"/>
      <c r="G1" s="141"/>
    </row>
    <row r="2" spans="1:7" x14ac:dyDescent="0.2">
      <c r="A2" s="147" t="s">
        <v>1</v>
      </c>
      <c r="B2" s="141"/>
      <c r="C2" s="141"/>
      <c r="D2" s="141"/>
      <c r="E2" s="141"/>
      <c r="F2" s="141"/>
      <c r="G2" s="141"/>
    </row>
    <row r="4" spans="1:7" ht="60" customHeight="1" x14ac:dyDescent="0.2">
      <c r="A4" s="146" t="s">
        <v>2</v>
      </c>
      <c r="B4" s="141"/>
      <c r="C4" s="141"/>
      <c r="D4" s="141"/>
      <c r="E4" s="141"/>
      <c r="F4" s="141"/>
      <c r="G4" s="141"/>
    </row>
    <row r="6" spans="1:7" ht="36" customHeight="1" x14ac:dyDescent="0.2">
      <c r="B6" s="148" t="s">
        <v>3</v>
      </c>
      <c r="C6" s="149"/>
      <c r="D6" s="143"/>
      <c r="E6" s="142" t="s">
        <v>4</v>
      </c>
      <c r="F6" s="143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843</v>
      </c>
      <c r="C9" s="5" t="s">
        <v>779</v>
      </c>
      <c r="D9" s="5" t="s">
        <v>844</v>
      </c>
      <c r="E9" s="50" t="s">
        <v>1382</v>
      </c>
      <c r="F9" s="6" t="s">
        <v>24</v>
      </c>
      <c r="G9" s="7">
        <f>IF(OR(B9="",F9=""),"",IFERROR(VLOOKUP(B9&amp;"-"&amp;LOWER(F9),'10_Question_Bank'!$A:$B,2,FALSE),"?"))</f>
        <v>5</v>
      </c>
    </row>
    <row r="10" spans="1:7" ht="72" customHeight="1" x14ac:dyDescent="0.2">
      <c r="A10" s="4">
        <v>2</v>
      </c>
      <c r="B10" s="49" t="s">
        <v>674</v>
      </c>
      <c r="C10" s="5" t="s">
        <v>675</v>
      </c>
      <c r="D10" s="5" t="s">
        <v>676</v>
      </c>
      <c r="E10" s="50" t="s">
        <v>1383</v>
      </c>
      <c r="F10" s="6" t="s">
        <v>27</v>
      </c>
      <c r="G10" s="7">
        <f>IF(OR(B10="",F10=""),"",IFERROR(VLOOKUP(B10&amp;"-"&amp;LOWER(F10),'10_Question_Bank'!$A:$B,2,FALSE),"?"))</f>
        <v>5</v>
      </c>
    </row>
    <row r="11" spans="1:7" ht="72" customHeight="1" x14ac:dyDescent="0.2">
      <c r="A11" s="4">
        <v>3</v>
      </c>
      <c r="B11" s="49" t="s">
        <v>1075</v>
      </c>
      <c r="C11" s="5" t="s">
        <v>982</v>
      </c>
      <c r="D11" s="5" t="s">
        <v>1076</v>
      </c>
      <c r="E11" s="50" t="s">
        <v>1384</v>
      </c>
      <c r="F11" s="6" t="s">
        <v>30</v>
      </c>
      <c r="G11" s="7">
        <f>IF(OR(B11="",F11=""),"",IFERROR(VLOOKUP(B11&amp;"-"&amp;LOWER(F11),'10_Question_Bank'!$A:$B,2,FALSE),"?"))</f>
        <v>4</v>
      </c>
    </row>
    <row r="12" spans="1:7" ht="72" customHeight="1" x14ac:dyDescent="0.2">
      <c r="A12" s="4">
        <v>4</v>
      </c>
      <c r="B12" s="49" t="s">
        <v>127</v>
      </c>
      <c r="C12" s="5" t="s">
        <v>22</v>
      </c>
      <c r="D12" s="5" t="s">
        <v>128</v>
      </c>
      <c r="E12" s="50" t="s">
        <v>1385</v>
      </c>
      <c r="F12" s="6" t="s">
        <v>33</v>
      </c>
      <c r="G12" s="7">
        <f>IF(OR(B12="",F12=""),"",IFERROR(VLOOKUP(B12&amp;"-"&amp;LOWER(F12),'10_Question_Bank'!$A:$B,2,FALSE),"?"))</f>
        <v>1</v>
      </c>
    </row>
    <row r="13" spans="1:7" ht="72" customHeight="1" x14ac:dyDescent="0.2">
      <c r="A13" s="4">
        <v>5</v>
      </c>
      <c r="B13" s="49" t="s">
        <v>303</v>
      </c>
      <c r="C13" s="5" t="s">
        <v>253</v>
      </c>
      <c r="D13" s="5" t="s">
        <v>304</v>
      </c>
      <c r="E13" s="50" t="s">
        <v>1386</v>
      </c>
      <c r="F13" s="6" t="s">
        <v>24</v>
      </c>
      <c r="G13" s="7">
        <f>IF(OR(B13="",F13=""),"",IFERROR(VLOOKUP(B13&amp;"-"&amp;LOWER(F13),'10_Question_Bank'!$A:$B,2,FALSE),"?"))</f>
        <v>9</v>
      </c>
    </row>
    <row r="14" spans="1:7" ht="72" customHeight="1" x14ac:dyDescent="0.2">
      <c r="A14" s="4">
        <v>6</v>
      </c>
      <c r="B14" s="49" t="s">
        <v>232</v>
      </c>
      <c r="C14" s="5" t="s">
        <v>138</v>
      </c>
      <c r="D14" s="5" t="s">
        <v>233</v>
      </c>
      <c r="E14" s="50" t="s">
        <v>1387</v>
      </c>
      <c r="F14" s="6" t="s">
        <v>27</v>
      </c>
      <c r="G14" s="7">
        <f>IF(OR(B14="",F14=""),"",IFERROR(VLOOKUP(B14&amp;"-"&amp;LOWER(F14),'10_Question_Bank'!$A:$B,2,FALSE),"?"))</f>
        <v>5</v>
      </c>
    </row>
    <row r="15" spans="1:7" ht="72" customHeight="1" x14ac:dyDescent="0.2">
      <c r="A15" s="4">
        <v>7</v>
      </c>
      <c r="B15" s="49" t="s">
        <v>614</v>
      </c>
      <c r="C15" s="5" t="s">
        <v>572</v>
      </c>
      <c r="D15" s="5" t="s">
        <v>615</v>
      </c>
      <c r="E15" s="50" t="s">
        <v>1388</v>
      </c>
      <c r="F15" s="6" t="s">
        <v>33</v>
      </c>
      <c r="G15" s="7">
        <f>IF(OR(B15="",F15=""),"",IFERROR(VLOOKUP(B15&amp;"-"&amp;LOWER(F15),'10_Question_Bank'!$A:$B,2,FALSE),"?"))</f>
        <v>1</v>
      </c>
    </row>
    <row r="16" spans="1:7" ht="72" customHeight="1" x14ac:dyDescent="0.2">
      <c r="A16" s="4">
        <v>8</v>
      </c>
      <c r="B16" s="49" t="s">
        <v>883</v>
      </c>
      <c r="C16" s="5" t="s">
        <v>884</v>
      </c>
      <c r="D16" s="5" t="s">
        <v>885</v>
      </c>
      <c r="E16" s="50" t="s">
        <v>1389</v>
      </c>
      <c r="F16" s="6" t="s">
        <v>30</v>
      </c>
      <c r="G16" s="7">
        <f>IF(OR(B16="",F16=""),"",IFERROR(VLOOKUP(B16&amp;"-"&amp;LOWER(F16),'10_Question_Bank'!$A:$B,2,FALSE),"?"))</f>
        <v>4</v>
      </c>
    </row>
    <row r="17" spans="1:7" ht="72" customHeight="1" x14ac:dyDescent="0.2">
      <c r="A17" s="4">
        <v>9</v>
      </c>
      <c r="B17" s="49" t="s">
        <v>511</v>
      </c>
      <c r="C17" s="5" t="s">
        <v>467</v>
      </c>
      <c r="D17" s="5" t="s">
        <v>512</v>
      </c>
      <c r="E17" s="50" t="s">
        <v>1390</v>
      </c>
      <c r="F17" s="6" t="s">
        <v>27</v>
      </c>
      <c r="G17" s="7">
        <f>IF(OR(B17="",F17=""),"",IFERROR(VLOOKUP(B17&amp;"-"&amp;LOWER(F17),'10_Question_Bank'!$A:$B,2,FALSE),"?"))</f>
        <v>4</v>
      </c>
    </row>
    <row r="18" spans="1:7" ht="72" customHeight="1" x14ac:dyDescent="0.2">
      <c r="A18" s="4">
        <v>10</v>
      </c>
      <c r="B18" s="49" t="s">
        <v>382</v>
      </c>
      <c r="C18" s="5" t="s">
        <v>360</v>
      </c>
      <c r="D18" s="5" t="s">
        <v>383</v>
      </c>
      <c r="E18" s="50" t="s">
        <v>1391</v>
      </c>
      <c r="F18" s="6" t="s">
        <v>27</v>
      </c>
      <c r="G18" s="7">
        <f>IF(OR(B18="",F18=""),"",IFERROR(VLOOKUP(B18&amp;"-"&amp;LOWER(F18),'10_Question_Bank'!$A:$B,2,FALSE),"?"))</f>
        <v>5</v>
      </c>
    </row>
    <row r="20" spans="1:7" ht="19" x14ac:dyDescent="0.2">
      <c r="B20" s="140" t="s">
        <v>12</v>
      </c>
      <c r="C20" s="141"/>
      <c r="D20" s="141"/>
      <c r="E20" s="141"/>
      <c r="F20" s="141"/>
      <c r="G20" s="9">
        <f>'11_Scoring'!$C$17</f>
        <v>4.7951807228915655</v>
      </c>
    </row>
    <row r="21" spans="1:7" ht="16" x14ac:dyDescent="0.2">
      <c r="B21" s="140" t="s">
        <v>13</v>
      </c>
      <c r="C21" s="141"/>
      <c r="D21" s="141"/>
      <c r="E21" s="141"/>
      <c r="F21" s="141"/>
      <c r="G21" s="10" t="str">
        <f>'11_Scoring'!$C$18</f>
        <v>Moderate</v>
      </c>
    </row>
    <row r="23" spans="1:7" x14ac:dyDescent="0.2">
      <c r="B23" s="145" t="s">
        <v>14</v>
      </c>
      <c r="C23" s="141"/>
      <c r="D23" s="141"/>
      <c r="E23" s="141"/>
      <c r="F23" s="141"/>
      <c r="G23" s="141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3">
    <dataValidation type="list" allowBlank="1" showInputMessage="1" showErrorMessage="1" errorTitle="Invalid answer" error="Choose one of: a,b,c,d" sqref="F9 F14:F18 F11:F12" xr:uid="{CA4E79E6-1E54-904C-85A1-3CE5F2D85913}">
      <formula1>"a,b,c,d"</formula1>
    </dataValidation>
    <dataValidation type="list" allowBlank="1" showInputMessage="1" showErrorMessage="1" errorTitle="Invalid answer" error="Choose one of: a,b,c" sqref="F10" xr:uid="{04BAD80D-286A-AC4E-8C00-C59FD6D0F64F}">
      <formula1>"a,b,c"</formula1>
    </dataValidation>
    <dataValidation type="list" allowBlank="1" showInputMessage="1" showErrorMessage="1" errorTitle="Invalid answer" error="Choose one of: a,b,c,d,e" sqref="F13" xr:uid="{3EAB5A46-F776-7F49-A4EB-246F8808A1A1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abSelected="1" workbookViewId="0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38" t="s">
        <v>1352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ht="18" customHeight="1" x14ac:dyDescent="0.2">
      <c r="A2" s="139" t="s">
        <v>1353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"/>
    <row r="4" spans="1:12" ht="21.75" customHeight="1" x14ac:dyDescent="0.2">
      <c r="A4" s="133" t="s">
        <v>1354</v>
      </c>
      <c r="B4" s="134"/>
      <c r="C4" s="134"/>
      <c r="D4" s="134"/>
      <c r="F4" s="135"/>
      <c r="G4" s="134"/>
      <c r="H4" s="134"/>
      <c r="I4" s="134"/>
      <c r="J4" s="134"/>
      <c r="K4" s="134"/>
      <c r="L4" s="134"/>
    </row>
    <row r="5" spans="1:12" ht="19.5" customHeight="1" thickBot="1" x14ac:dyDescent="0.25">
      <c r="A5" s="104" t="s">
        <v>1355</v>
      </c>
      <c r="B5" s="31">
        <f>'12_Optimizer'!B16</f>
        <v>0.18312782516341486</v>
      </c>
      <c r="C5" s="135" t="s">
        <v>1356</v>
      </c>
      <c r="D5" s="134"/>
    </row>
    <row r="6" spans="1:12" ht="19.5" customHeight="1" thickBot="1" x14ac:dyDescent="0.25">
      <c r="A6" s="104" t="s">
        <v>1357</v>
      </c>
      <c r="B6" s="105" t="s">
        <v>1392</v>
      </c>
      <c r="C6" s="135" t="s">
        <v>1358</v>
      </c>
      <c r="D6" s="134"/>
    </row>
    <row r="7" spans="1:12" ht="19.5" customHeight="1" x14ac:dyDescent="0.2">
      <c r="A7" s="104" t="s">
        <v>1359</v>
      </c>
      <c r="B7" s="106">
        <v>3.5000000000000003E-2</v>
      </c>
      <c r="C7" s="135" t="s">
        <v>1360</v>
      </c>
      <c r="D7" s="134"/>
    </row>
    <row r="9" spans="1:12" ht="25.5" customHeight="1" x14ac:dyDescent="0.2">
      <c r="A9" s="130"/>
      <c r="B9" s="134"/>
      <c r="C9" s="134"/>
      <c r="D9" s="134"/>
    </row>
    <row r="11" spans="1:12" ht="21.75" customHeight="1" x14ac:dyDescent="0.2">
      <c r="A11" s="133" t="s">
        <v>1361</v>
      </c>
      <c r="B11" s="134"/>
      <c r="C11" s="134"/>
      <c r="D11" s="134"/>
      <c r="F11" s="130"/>
      <c r="G11" s="134"/>
      <c r="H11" s="134"/>
      <c r="I11" s="134"/>
      <c r="J11" s="134"/>
      <c r="K11" s="134"/>
      <c r="L11" s="134"/>
    </row>
    <row r="12" spans="1:12" ht="18" customHeight="1" x14ac:dyDescent="0.2">
      <c r="A12" s="107" t="s">
        <v>1362</v>
      </c>
      <c r="B12" s="108">
        <f>SUMPRODUCT(C19:C28,D19:D28)</f>
        <v>0.18109939361706315</v>
      </c>
      <c r="C12" s="135" t="s">
        <v>1363</v>
      </c>
      <c r="D12" s="134"/>
      <c r="F12" s="137"/>
      <c r="G12" s="13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0.18312925754945453</v>
      </c>
      <c r="C13" s="135" t="s">
        <v>1364</v>
      </c>
      <c r="D13" s="134"/>
      <c r="F13" s="136"/>
      <c r="G13" s="13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3.3536324970614449E-2</v>
      </c>
      <c r="C14" s="135" t="s">
        <v>1366</v>
      </c>
      <c r="D14" s="134"/>
      <c r="F14" s="136"/>
      <c r="G14" s="13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0.79779384011104082</v>
      </c>
      <c r="C15" s="135" t="s">
        <v>1367</v>
      </c>
      <c r="D15" s="134"/>
      <c r="F15" s="136"/>
      <c r="G15" s="132"/>
      <c r="H15" s="110"/>
      <c r="I15" s="110"/>
      <c r="J15" s="111"/>
    </row>
    <row r="17" spans="1:12" ht="21.75" customHeight="1" x14ac:dyDescent="0.2">
      <c r="A17" s="129" t="s">
        <v>1368</v>
      </c>
      <c r="B17" s="129"/>
      <c r="C17" s="129"/>
      <c r="D17" s="129"/>
      <c r="F17" s="130"/>
      <c r="G17" s="130"/>
      <c r="H17" s="130"/>
      <c r="I17" s="130"/>
      <c r="J17" s="130"/>
      <c r="K17" s="130"/>
      <c r="L17" s="13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0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0.25506345334965258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0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1.5862611298143256E-3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0.74335028552053328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31" t="s">
        <v>1370</v>
      </c>
      <c r="B29" s="132"/>
      <c r="C29" s="120">
        <f>SUM(C19:C28)</f>
        <v>1.0000000000000002</v>
      </c>
      <c r="D29" s="121"/>
    </row>
    <row r="31" spans="1:12" ht="21.75" customHeight="1" x14ac:dyDescent="0.2">
      <c r="A31" s="133" t="s">
        <v>1371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38" t="s">
        <v>1209</v>
      </c>
      <c r="B1" s="134"/>
      <c r="C1" s="134"/>
      <c r="D1" s="134"/>
      <c r="E1" s="134"/>
      <c r="F1" s="134"/>
      <c r="G1" s="134"/>
      <c r="H1" s="134"/>
    </row>
    <row r="2" spans="1:8" ht="15" customHeight="1" x14ac:dyDescent="0.2">
      <c r="A2" s="150" t="s">
        <v>1210</v>
      </c>
      <c r="B2" s="134"/>
      <c r="C2" s="134"/>
      <c r="D2" s="134"/>
      <c r="E2" s="134"/>
      <c r="F2" s="134"/>
      <c r="G2" s="134"/>
      <c r="H2" s="134"/>
    </row>
    <row r="4" spans="1:8" ht="15" customHeight="1" x14ac:dyDescent="0.2">
      <c r="A4" s="151" t="s">
        <v>1211</v>
      </c>
      <c r="B4" s="134"/>
      <c r="C4" s="134"/>
      <c r="D4" s="134"/>
      <c r="F4" s="151" t="s">
        <v>1212</v>
      </c>
      <c r="G4" s="134"/>
      <c r="H4" s="13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ht="18" customHeight="1" x14ac:dyDescent="0.2">
      <c r="A2" s="153" t="s">
        <v>1248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34"/>
      <c r="C1" s="134"/>
      <c r="D1" s="134"/>
      <c r="E1" s="134"/>
      <c r="F1" s="13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34"/>
      <c r="C29" s="134"/>
      <c r="D29" s="134"/>
      <c r="E29" s="134"/>
      <c r="F29" s="134"/>
      <c r="G29" s="134"/>
      <c r="H29" s="134"/>
      <c r="I29" s="134"/>
      <c r="J29" s="134"/>
      <c r="K29" s="13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34"/>
      <c r="C1" s="134"/>
      <c r="D1" s="134"/>
      <c r="E1" s="134"/>
    </row>
    <row r="2" spans="1:8" ht="19.5" customHeight="1" x14ac:dyDescent="0.2">
      <c r="A2" s="154" t="s">
        <v>1332</v>
      </c>
      <c r="B2" s="134"/>
      <c r="C2" s="134"/>
      <c r="D2" s="134"/>
      <c r="E2" s="13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34"/>
      <c r="C1" s="134"/>
      <c r="D1" s="134"/>
      <c r="E1" s="134"/>
      <c r="F1" s="134"/>
    </row>
    <row r="2" spans="1:9" x14ac:dyDescent="0.2">
      <c r="A2" s="154" t="s">
        <v>1341</v>
      </c>
      <c r="B2" s="134"/>
      <c r="C2" s="134"/>
      <c r="D2" s="134"/>
      <c r="E2" s="134"/>
      <c r="F2" s="13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41"/>
      <c r="C1" s="141"/>
      <c r="D1" s="141"/>
      <c r="E1" s="141"/>
      <c r="F1" s="141"/>
      <c r="G1" s="141"/>
    </row>
    <row r="2" spans="1:7" ht="30" customHeight="1" x14ac:dyDescent="0.2">
      <c r="A2" s="145" t="s">
        <v>16</v>
      </c>
      <c r="B2" s="141"/>
      <c r="C2" s="141"/>
      <c r="D2" s="141"/>
      <c r="E2" s="141"/>
      <c r="F2" s="141"/>
      <c r="G2" s="141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3" spans="1:12" ht="16" x14ac:dyDescent="0.2">
      <c r="A3" s="156" t="s">
        <v>1085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41"/>
      <c r="F5" s="141"/>
      <c r="G5" s="141"/>
      <c r="H5" s="141"/>
      <c r="I5" s="141"/>
      <c r="J5" s="141"/>
      <c r="K5" s="141"/>
      <c r="L5" s="141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41"/>
      <c r="F6" s="141"/>
      <c r="G6" s="141"/>
      <c r="H6" s="141"/>
      <c r="I6" s="141"/>
      <c r="J6" s="141"/>
      <c r="K6" s="141"/>
      <c r="L6" s="141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41"/>
      <c r="F7" s="141"/>
      <c r="G7" s="141"/>
      <c r="H7" s="141"/>
      <c r="I7" s="141"/>
      <c r="J7" s="141"/>
      <c r="K7" s="141"/>
      <c r="L7" s="141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41"/>
      <c r="F8" s="141"/>
      <c r="G8" s="141"/>
      <c r="H8" s="141"/>
      <c r="I8" s="141"/>
      <c r="J8" s="141"/>
      <c r="K8" s="141"/>
      <c r="L8" s="141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41"/>
      <c r="F9" s="141"/>
      <c r="G9" s="141"/>
      <c r="H9" s="141"/>
      <c r="I9" s="141"/>
      <c r="J9" s="141"/>
      <c r="K9" s="141"/>
      <c r="L9" s="141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41"/>
      <c r="F10" s="141"/>
      <c r="G10" s="141"/>
      <c r="H10" s="141"/>
      <c r="I10" s="141"/>
      <c r="J10" s="141"/>
      <c r="K10" s="141"/>
      <c r="L10" s="141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41"/>
      <c r="F11" s="141"/>
      <c r="G11" s="141"/>
      <c r="H11" s="141"/>
      <c r="I11" s="141"/>
      <c r="J11" s="141"/>
      <c r="K11" s="141"/>
      <c r="L11" s="141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41"/>
      <c r="F12" s="141"/>
      <c r="G12" s="141"/>
      <c r="H12" s="141"/>
      <c r="I12" s="141"/>
      <c r="J12" s="141"/>
      <c r="K12" s="141"/>
      <c r="L12" s="141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41"/>
      <c r="F13" s="141"/>
      <c r="G13" s="141"/>
      <c r="H13" s="141"/>
      <c r="I13" s="141"/>
      <c r="J13" s="141"/>
      <c r="K13" s="141"/>
      <c r="L13" s="141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41"/>
      <c r="F14" s="141"/>
      <c r="G14" s="141"/>
      <c r="H14" s="141"/>
      <c r="I14" s="141"/>
      <c r="J14" s="141"/>
      <c r="K14" s="141"/>
      <c r="L14" s="141"/>
    </row>
    <row r="16" spans="1:12" ht="16" x14ac:dyDescent="0.2">
      <c r="A16" s="156" t="s">
        <v>1091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</row>
    <row r="17" spans="1:12" ht="21" x14ac:dyDescent="0.2">
      <c r="B17" s="20" t="s">
        <v>1092</v>
      </c>
      <c r="C17" s="21">
        <f>IFERROR(MEDIAN(1,1+9*($C$19-$C$20)/($C$21-$C$20),10),"—")</f>
        <v>4.7951807228915655</v>
      </c>
    </row>
    <row r="18" spans="1:12" ht="16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</v>
      </c>
    </row>
    <row r="19" spans="1:12" x14ac:dyDescent="0.2">
      <c r="B19" s="22" t="s">
        <v>1094</v>
      </c>
      <c r="C19" s="23">
        <f>IFERROR(K37/L37,"—")</f>
        <v>4.08955223880597</v>
      </c>
    </row>
    <row r="20" spans="1:12" x14ac:dyDescent="0.2">
      <c r="B20" s="22" t="s">
        <v>1095</v>
      </c>
      <c r="C20" s="23">
        <f>IFERROR(I37/L37,"—")</f>
        <v>1.4776119402985073</v>
      </c>
    </row>
    <row r="21" spans="1:12" x14ac:dyDescent="0.2">
      <c r="B21" s="22" t="s">
        <v>1096</v>
      </c>
      <c r="C21" s="23">
        <f>IFERROR(J37/L37,"—")</f>
        <v>7.6716417910447765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8.7</v>
      </c>
      <c r="C27" s="25" t="str">
        <f>'1_Questionnaire'!C9</f>
        <v>Goals &amp; Purpose</v>
      </c>
      <c r="D27" s="7">
        <f t="shared" ref="D27:D36" si="0">IFERROR(VLOOKUP(C27,$B$5:$C$14,2,FALSE),"")</f>
        <v>0.7</v>
      </c>
      <c r="E27" s="7">
        <f>'1_Questionnaire'!G9</f>
        <v>5</v>
      </c>
      <c r="F27" s="4">
        <f t="shared" ref="F27:F36" si="1">IF(ISNUMBER(E27),1,0)</f>
        <v>1</v>
      </c>
      <c r="G27" s="7">
        <f>IF(B27="","",IFERROR(VLOOKUP(B27&amp;"",'15_QID_Bounds'!$A:$C,2,FALSE),""))</f>
        <v>1.5</v>
      </c>
      <c r="H27" s="7">
        <f>IF(B27="","",IFERROR(VLOOKUP(B27&amp;"",'15_QID_Bounds'!$A:$C,3,FALSE),""))</f>
        <v>5</v>
      </c>
      <c r="I27" s="23">
        <f t="shared" ref="I27:I36" si="2">IFERROR(G27*D27*F27,0)</f>
        <v>1.0499999999999998</v>
      </c>
      <c r="J27" s="23">
        <f t="shared" ref="J27:J36" si="3">IFERROR(H27*D27*F27,0)</f>
        <v>3.5</v>
      </c>
      <c r="K27" s="23">
        <f t="shared" ref="K27:K36" si="4">IF(F27=1,IFERROR(E27*D27,0),0)</f>
        <v>3.5</v>
      </c>
      <c r="L27" s="7">
        <f t="shared" ref="L27:L36" si="5">IFERROR(D27*F27,0)</f>
        <v>0.7</v>
      </c>
    </row>
    <row r="28" spans="1:12" ht="32" x14ac:dyDescent="0.2">
      <c r="A28" s="4">
        <v>2</v>
      </c>
      <c r="B28" s="4" t="str">
        <f>'1_Questionnaire'!B10</f>
        <v>7.1</v>
      </c>
      <c r="C28" s="25" t="str">
        <f>'1_Questionnaire'!C10</f>
        <v>Experience &amp; Knowledge</v>
      </c>
      <c r="D28" s="7">
        <f t="shared" si="0"/>
        <v>0.4</v>
      </c>
      <c r="E28" s="7">
        <f>'1_Questionnaire'!G10</f>
        <v>5</v>
      </c>
      <c r="F28" s="4">
        <f t="shared" si="1"/>
        <v>1</v>
      </c>
      <c r="G28" s="7">
        <f>IF(B28="","",IFERROR(VLOOKUP(B28&amp;"",'15_QID_Bounds'!$A:$C,2,FALSE),""))</f>
        <v>2.5</v>
      </c>
      <c r="H28" s="7">
        <f>IF(B28="","",IFERROR(VLOOKUP(B28&amp;"",'15_QID_Bounds'!$A:$C,3,FALSE),""))</f>
        <v>8</v>
      </c>
      <c r="I28" s="23">
        <f t="shared" si="2"/>
        <v>1</v>
      </c>
      <c r="J28" s="23">
        <f t="shared" si="3"/>
        <v>3.2</v>
      </c>
      <c r="K28" s="23">
        <f t="shared" si="4"/>
        <v>2</v>
      </c>
      <c r="L28" s="7">
        <f t="shared" si="5"/>
        <v>0.4</v>
      </c>
    </row>
    <row r="29" spans="1:12" ht="32" x14ac:dyDescent="0.2">
      <c r="A29" s="4">
        <v>3</v>
      </c>
      <c r="B29" s="4" t="str">
        <f>'1_Questionnaire'!B11</f>
        <v>10.10</v>
      </c>
      <c r="C29" s="25" t="str">
        <f>'1_Questionnaire'!C11</f>
        <v>Situational Finance</v>
      </c>
      <c r="D29" s="7">
        <f t="shared" si="0"/>
        <v>0.4</v>
      </c>
      <c r="E29" s="7">
        <f>'1_Questionnaire'!G11</f>
        <v>4</v>
      </c>
      <c r="F29" s="4">
        <f t="shared" si="1"/>
        <v>1</v>
      </c>
      <c r="G29" s="7">
        <f>IF(B29="","",IFERROR(VLOOKUP(B29&amp;"",'15_QID_Bounds'!$A:$C,2,FALSE),""))</f>
        <v>3</v>
      </c>
      <c r="H29" s="7">
        <f>IF(B29="","",IFERROR(VLOOKUP(B29&amp;"",'15_QID_Bounds'!$A:$C,3,FALSE),""))</f>
        <v>7</v>
      </c>
      <c r="I29" s="23">
        <f t="shared" si="2"/>
        <v>1.2000000000000002</v>
      </c>
      <c r="J29" s="23">
        <f t="shared" si="3"/>
        <v>2.8000000000000003</v>
      </c>
      <c r="K29" s="23">
        <f t="shared" si="4"/>
        <v>1.6</v>
      </c>
      <c r="L29" s="7">
        <f t="shared" si="5"/>
        <v>0.4</v>
      </c>
    </row>
    <row r="30" spans="1:12" ht="32" x14ac:dyDescent="0.2">
      <c r="A30" s="4">
        <v>4</v>
      </c>
      <c r="B30" s="4" t="str">
        <f>'1_Questionnaire'!B12</f>
        <v>1.10</v>
      </c>
      <c r="C30" s="25" t="str">
        <f>'1_Questionnaire'!C12</f>
        <v>Explicit Gambles</v>
      </c>
      <c r="D30" s="7">
        <f t="shared" si="0"/>
        <v>1</v>
      </c>
      <c r="E30" s="7">
        <f>'1_Questionnaire'!G12</f>
        <v>1</v>
      </c>
      <c r="F30" s="4">
        <f t="shared" si="1"/>
        <v>1</v>
      </c>
      <c r="G30" s="7">
        <f>IF(B30="","",IFERROR(VLOOKUP(B30&amp;"",'15_QID_Bounds'!$A:$C,2,FALSE),""))</f>
        <v>1</v>
      </c>
      <c r="H30" s="7">
        <f>IF(B30="","",IFERROR(VLOOKUP(B30&amp;"",'15_QID_Bounds'!$A:$C,3,FALSE),""))</f>
        <v>8</v>
      </c>
      <c r="I30" s="23">
        <f t="shared" si="2"/>
        <v>1</v>
      </c>
      <c r="J30" s="23">
        <f t="shared" si="3"/>
        <v>8</v>
      </c>
      <c r="K30" s="23">
        <f t="shared" si="4"/>
        <v>1</v>
      </c>
      <c r="L30" s="7">
        <f t="shared" si="5"/>
        <v>1</v>
      </c>
    </row>
    <row r="31" spans="1:12" ht="32" x14ac:dyDescent="0.2">
      <c r="A31" s="4">
        <v>5</v>
      </c>
      <c r="B31" s="4" t="str">
        <f>'1_Questionnaire'!B13</f>
        <v>3.6</v>
      </c>
      <c r="C31" s="25" t="str">
        <f>'1_Questionnaire'!C13</f>
        <v>Behavioural Loss Reactions</v>
      </c>
      <c r="D31" s="7">
        <f t="shared" si="0"/>
        <v>0.7</v>
      </c>
      <c r="E31" s="7">
        <f>'1_Questionnaire'!G13</f>
        <v>9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9</v>
      </c>
      <c r="I31" s="23">
        <f t="shared" si="2"/>
        <v>0.7</v>
      </c>
      <c r="J31" s="23">
        <f t="shared" si="3"/>
        <v>6.3</v>
      </c>
      <c r="K31" s="23">
        <f t="shared" si="4"/>
        <v>6.3</v>
      </c>
      <c r="L31" s="7">
        <f t="shared" si="5"/>
        <v>0.7</v>
      </c>
    </row>
    <row r="32" spans="1:12" ht="32" x14ac:dyDescent="0.2">
      <c r="A32" s="4">
        <v>6</v>
      </c>
      <c r="B32" s="4" t="str">
        <f>'1_Questionnaire'!B14</f>
        <v>2.9</v>
      </c>
      <c r="C32" s="25" t="str">
        <f>'1_Questionnaire'!C14</f>
        <v>Time Horizon &amp; Liquidity</v>
      </c>
      <c r="D32" s="7">
        <f t="shared" si="0"/>
        <v>0.4</v>
      </c>
      <c r="E32" s="7">
        <f>'1_Questionnaire'!G14</f>
        <v>5</v>
      </c>
      <c r="F32" s="4">
        <f t="shared" si="1"/>
        <v>1</v>
      </c>
      <c r="G32" s="7">
        <f>IF(B32="","",IFERROR(VLOOKUP(B32&amp;"",'15_QID_Bounds'!$A:$C,2,FALSE),""))</f>
        <v>2</v>
      </c>
      <c r="H32" s="7">
        <f>IF(B32="","",IFERROR(VLOOKUP(B32&amp;"",'15_QID_Bounds'!$A:$C,3,FALSE),""))</f>
        <v>7</v>
      </c>
      <c r="I32" s="23">
        <f t="shared" si="2"/>
        <v>0.8</v>
      </c>
      <c r="J32" s="23">
        <f t="shared" si="3"/>
        <v>2.8000000000000003</v>
      </c>
      <c r="K32" s="23">
        <f t="shared" si="4"/>
        <v>2</v>
      </c>
      <c r="L32" s="7">
        <f t="shared" si="5"/>
        <v>0.4</v>
      </c>
    </row>
    <row r="33" spans="1:12" ht="48" x14ac:dyDescent="0.2">
      <c r="A33" s="4">
        <v>7</v>
      </c>
      <c r="B33" s="4" t="str">
        <f>'1_Questionnaire'!B15</f>
        <v>6.5</v>
      </c>
      <c r="C33" s="25" t="str">
        <f>'1_Questionnaire'!C15</f>
        <v>Self-Description &amp; Personality</v>
      </c>
      <c r="D33" s="7">
        <f t="shared" si="0"/>
        <v>0.7</v>
      </c>
      <c r="E33" s="7">
        <f>'1_Questionnaire'!G15</f>
        <v>1</v>
      </c>
      <c r="F33" s="4">
        <f t="shared" si="1"/>
        <v>1</v>
      </c>
      <c r="G33" s="7">
        <f>IF(B33="","",IFERROR(VLOOKUP(B33&amp;"",'15_QID_Bounds'!$A:$C,2,FALSE),""))</f>
        <v>1</v>
      </c>
      <c r="H33" s="7">
        <f>IF(B33="","",IFERROR(VLOOKUP(B33&amp;"",'15_QID_Bounds'!$A:$C,3,FALSE),""))</f>
        <v>8</v>
      </c>
      <c r="I33" s="23">
        <f t="shared" si="2"/>
        <v>0.7</v>
      </c>
      <c r="J33" s="23">
        <f t="shared" si="3"/>
        <v>5.6</v>
      </c>
      <c r="K33" s="23">
        <f t="shared" si="4"/>
        <v>0.7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9.1</v>
      </c>
      <c r="C34" s="25" t="str">
        <f>'1_Questionnaire'!C16</f>
        <v>Market Event Scenarios</v>
      </c>
      <c r="D34" s="7">
        <f t="shared" si="0"/>
        <v>0.7</v>
      </c>
      <c r="E34" s="7">
        <f>'1_Questionnaire'!G16</f>
        <v>4</v>
      </c>
      <c r="F34" s="4">
        <f t="shared" si="1"/>
        <v>1</v>
      </c>
      <c r="G34" s="7">
        <f>IF(B34="","",IFERROR(VLOOKUP(B34&amp;"",'15_QID_Bounds'!$A:$C,2,FALSE),""))</f>
        <v>2</v>
      </c>
      <c r="H34" s="7">
        <f>IF(B34="","",IFERROR(VLOOKUP(B34&amp;"",'15_QID_Bounds'!$A:$C,3,FALSE),""))</f>
        <v>8</v>
      </c>
      <c r="I34" s="23">
        <f t="shared" si="2"/>
        <v>1.4</v>
      </c>
      <c r="J34" s="23">
        <f t="shared" si="3"/>
        <v>5.6</v>
      </c>
      <c r="K34" s="23">
        <f t="shared" si="4"/>
        <v>2.8</v>
      </c>
      <c r="L34" s="7">
        <f t="shared" si="5"/>
        <v>0.7</v>
      </c>
    </row>
    <row r="35" spans="1:12" ht="48" x14ac:dyDescent="0.2">
      <c r="A35" s="4">
        <v>9</v>
      </c>
      <c r="B35" s="4" t="str">
        <f>'1_Questionnaire'!B17</f>
        <v>5.5</v>
      </c>
      <c r="C35" s="25" t="str">
        <f>'1_Questionnaire'!C17</f>
        <v>Forced Concentration</v>
      </c>
      <c r="D35" s="7">
        <f t="shared" si="0"/>
        <v>1</v>
      </c>
      <c r="E35" s="7">
        <f>'1_Questionnaire'!G17</f>
        <v>4</v>
      </c>
      <c r="F35" s="4">
        <f t="shared" si="1"/>
        <v>1</v>
      </c>
      <c r="G35" s="7">
        <f>IF(B35="","",IFERROR(VLOOKUP(B35&amp;"",'15_QID_Bounds'!$A:$C,2,FALSE),""))</f>
        <v>1</v>
      </c>
      <c r="H35" s="7">
        <f>IF(B35="","",IFERROR(VLOOKUP(B35&amp;"",'15_QID_Bounds'!$A:$C,3,FALSE),""))</f>
        <v>8</v>
      </c>
      <c r="I35" s="23">
        <f t="shared" si="2"/>
        <v>1</v>
      </c>
      <c r="J35" s="23">
        <f t="shared" si="3"/>
        <v>8</v>
      </c>
      <c r="K35" s="23">
        <f t="shared" si="4"/>
        <v>4</v>
      </c>
      <c r="L35" s="7">
        <f t="shared" si="5"/>
        <v>1</v>
      </c>
    </row>
    <row r="36" spans="1:12" ht="48" x14ac:dyDescent="0.2">
      <c r="A36" s="4">
        <v>10</v>
      </c>
      <c r="B36" s="4" t="str">
        <f>'1_Questionnaire'!B18</f>
        <v>4.3</v>
      </c>
      <c r="C36" s="25" t="str">
        <f>'1_Questionnaire'!C18</f>
        <v>Portfolio Allocation Preferences</v>
      </c>
      <c r="D36" s="7">
        <f t="shared" si="0"/>
        <v>0.7</v>
      </c>
      <c r="E36" s="7">
        <f>'1_Questionnaire'!G18</f>
        <v>5</v>
      </c>
      <c r="F36" s="4">
        <f t="shared" si="1"/>
        <v>1</v>
      </c>
      <c r="G36" s="7">
        <f>IF(B36="","",IFERROR(VLOOKUP(B36&amp;"",'15_QID_Bounds'!$A:$C,2,FALSE),""))</f>
        <v>1.5</v>
      </c>
      <c r="H36" s="7">
        <f>IF(B36="","",IFERROR(VLOOKUP(B36&amp;"",'15_QID_Bounds'!$A:$C,3,FALSE),""))</f>
        <v>8</v>
      </c>
      <c r="I36" s="23">
        <f t="shared" si="2"/>
        <v>1.0499999999999998</v>
      </c>
      <c r="J36" s="23">
        <f t="shared" si="3"/>
        <v>5.6</v>
      </c>
      <c r="K36" s="23">
        <f t="shared" si="4"/>
        <v>3.5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16.5</v>
      </c>
      <c r="H37" s="27">
        <f t="shared" si="6"/>
        <v>76</v>
      </c>
      <c r="I37" s="27">
        <f t="shared" si="6"/>
        <v>9.8999999999999986</v>
      </c>
      <c r="J37" s="27">
        <f t="shared" si="6"/>
        <v>51.400000000000006</v>
      </c>
      <c r="K37" s="27">
        <f t="shared" si="6"/>
        <v>27.4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workbookViewId="0">
      <selection activeCell="F47" sqref="F47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0.25508677179691797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1.6365531292043011E-3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0.74327667507387774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3.353580034908224E-2</v>
      </c>
    </row>
    <row r="16" spans="1:14" x14ac:dyDescent="0.2">
      <c r="A16" s="20" t="s">
        <v>1124</v>
      </c>
      <c r="B16" s="31">
        <f>SQRT(B15)</f>
        <v>0.18312782516341486</v>
      </c>
    </row>
    <row r="17" spans="1:14" x14ac:dyDescent="0.2">
      <c r="A17" s="20" t="s">
        <v>1125</v>
      </c>
      <c r="B17" s="38">
        <f>SUMPRODUCT(B3:B12,C3:C12)</f>
        <v>0.18109813600085134</v>
      </c>
    </row>
    <row r="18" spans="1:14" x14ac:dyDescent="0.2">
      <c r="A18" s="35" t="s">
        <v>1126</v>
      </c>
      <c r="B18" s="39">
        <f>'11_Scoring'!$C$17</f>
        <v>4.7951807228915655</v>
      </c>
    </row>
    <row r="19" spans="1:14" ht="19" x14ac:dyDescent="0.2">
      <c r="A19" s="8" t="s">
        <v>1127</v>
      </c>
      <c r="B19" s="40">
        <f>B17-0.5*B18*B15</f>
        <v>0.10069302432052164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41"/>
      <c r="C21" s="141"/>
      <c r="D21" s="141"/>
      <c r="E21" s="163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14" ht="36" customHeight="1" x14ac:dyDescent="0.2">
      <c r="A22" s="164" t="s">
        <v>1129</v>
      </c>
      <c r="B22" s="141"/>
      <c r="C22" s="141"/>
      <c r="D22" s="141"/>
      <c r="E22" s="163"/>
      <c r="F22" s="141"/>
      <c r="G22" s="141"/>
      <c r="H22" s="141"/>
      <c r="I22" s="141"/>
      <c r="J22" s="141"/>
      <c r="K22" s="141"/>
      <c r="L22" s="141"/>
      <c r="M22" s="141"/>
      <c r="N22" s="141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0.7977932128581775</v>
      </c>
      <c r="C24">
        <v>0</v>
      </c>
    </row>
    <row r="25" spans="1:14" x14ac:dyDescent="0.2">
      <c r="A25" s="41" t="s">
        <v>1131</v>
      </c>
      <c r="B25" s="43">
        <f>100000*(1+B17)</f>
        <v>118109.81360008515</v>
      </c>
      <c r="C25">
        <v>0</v>
      </c>
    </row>
    <row r="26" spans="1:14" x14ac:dyDescent="0.2">
      <c r="C26">
        <v>0</v>
      </c>
    </row>
    <row r="27" spans="1:14" x14ac:dyDescent="0.2">
      <c r="A27" s="145" t="s">
        <v>1132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</row>
    <row r="28" spans="1:14" x14ac:dyDescent="0.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1:14" x14ac:dyDescent="0.2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</row>
    <row r="30" spans="1:14" x14ac:dyDescent="0.2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</row>
    <row r="2" spans="1:11" x14ac:dyDescent="0.2">
      <c r="A2" s="166" t="s">
        <v>1134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41"/>
      <c r="C18" s="141"/>
      <c r="D18" s="141"/>
      <c r="E18" s="141"/>
      <c r="F18" s="141"/>
      <c r="G18" s="141"/>
      <c r="H18" s="141"/>
      <c r="I18" s="141"/>
      <c r="J18" s="141"/>
      <c r="K18" s="141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41"/>
      <c r="C1" s="141"/>
    </row>
    <row r="2" spans="1:3" ht="30" customHeight="1" x14ac:dyDescent="0.2">
      <c r="A2" s="145" t="s">
        <v>1208</v>
      </c>
      <c r="B2" s="141"/>
      <c r="C2" s="141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2026-04-23T20:41:03Z</dcterms:modified>
</cp:coreProperties>
</file>