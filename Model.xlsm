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551829A4-D004-994D-B37A-45113F0EB474}" xr6:coauthVersionLast="47" xr6:coauthVersionMax="47" xr10:uidLastSave="{00000000-0000-0000-0000-000000000000}"/>
  <bookViews>
    <workbookView xWindow="0" yWindow="800" windowWidth="18000" windowHeight="22580" xr2:uid="{00000000-000D-0000-FFFF-FFFF00000000}"/>
    <workbookView xWindow="17980" yWindow="800" windowWidth="18020" windowHeight="22580" firstSheet="8" activeTab="11" xr2:uid="{E5F55834-EA01-6E4E-BDDA-A4F2BA5BD9FC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'12_Optimizer'!$B$3:$B$12</definedName>
    <definedName name="solver_lhs1" localSheetId="1" hidden="1">'2_MVP_Calculator'!$B$14</definedName>
    <definedName name="solver_lhs1" localSheetId="8" hidden="1">'9_Charts'!$C$29</definedName>
    <definedName name="solver_lhs2" localSheetId="1" hidden="1">'2_MVP_Calculator'!$C$19:$C$28</definedName>
    <definedName name="solver_lhs2" localSheetId="8" hidden="1">'9_Charts'!$B$14</definedName>
    <definedName name="solver_lhs3" localSheetId="1" hidden="1">'2_MVP_Calculator'!$C$19:$C$28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1</definedName>
    <definedName name="solver_num" localSheetId="1" hidden="1">2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" hidden="1">3</definedName>
    <definedName name="solver_rel2" localSheetId="8" hidden="1">2</definedName>
    <definedName name="solver_rel3" localSheetId="1" hidden="1">3</definedName>
    <definedName name="solver_rel3" localSheetId="8" hidden="1">3</definedName>
    <definedName name="solver_rhs1" localSheetId="11" hidden="1">0</definedName>
    <definedName name="solver_rhs1" localSheetId="1" hidden="1">0.057892754987529</definedName>
    <definedName name="solver_rhs1" localSheetId="8" hidden="1">1</definedName>
    <definedName name="solver_rhs2" localSheetId="1" hidden="1">0</definedName>
    <definedName name="solver_rhs2" localSheetId="8" hidden="1">0.001444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<sst xmlns="http://schemas.openxmlformats.org/spreadsheetml/2006/main" count="3495" uniqueCount="1393">
  <si>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</si>
  <si>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</si>
  <si>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</si>
  <si>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</si>
  <si>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</si>
  <si>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</si>
  <si>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</si>
  <si>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</si>
  <si>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</si>
  <si>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</si>
  <si>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</si>
  <si>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</si>
  <si>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</si>
  <si>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</si>
  <si>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</si>
  <si>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</si>
  <si>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</si>
  <si>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</si>
  <si>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</si>
  <si>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</si>
  <si>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</si>
  <si>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</si>
  <si>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</si>
  <si>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</si>
  <si>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</si>
  <si>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</si>
  <si>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</si>
  <si>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</si>
  <si>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</si>
  <si>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</si>
  <si>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</si>
  <si>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</si>
  <si>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</si>
  <si>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</si>
  <si>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</si>
  <si>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</si>
  <si>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</si>
  <si>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</si>
  <si>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</si>
  <si>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</si>
  <si>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</si>
  <si>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</si>
  <si>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</si>
  <si>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</si>
  <si>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</si>
  <si>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</si>
  <si>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</si>
  <si>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</si>
  <si>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</si>
  <si>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</si>
  <si>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</si>
  <si>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</si>
  <si>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</si>
  <si>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</si>
  <si>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</si>
  <si>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</si>
  <si>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</si>
  <si>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</si>
  <si>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</si>
  <si>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</si>
  <si>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</si>
  <si>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</si>
  <si>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</si>
  <si>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</si>
  <si>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</si>
  <si>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</si>
  <si>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</si>
  <si>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</si>
  <si>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</si>
  <si>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</si>
  <si>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</si>
  <si>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</si>
  <si>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</si>
  <si>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</si>
  <si>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</si>
  <si>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</si>
  <si>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</si>
  <si>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</si>
  <si>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</si>
  <si>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</si>
  <si>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</si>
  <si>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</si>
  <si>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</si>
  <si>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</si>
  <si>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</si>
  <si>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</si>
  <si>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</si>
  <si>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</si>
  <si>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</si>
  <si>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</si>
  <si>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</si>
  <si>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</si>
  <si>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</si>
  <si>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</si>
  <si>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</si>
  <si>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</si>
  <si>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</si>
  <si>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</si>
  <si>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</si>
  <si>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</si>
  <si>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</si>
  <si>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</si>
  <si>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</si>
  <si>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</si>
  <si>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</si>
  <si>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</si>
  <si>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</si>
  <si>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</si>
  <si>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</si>
  <si>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</si>
  <si>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</si>
  <si>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</si>
  <si>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</si>
  <si>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</si>
  <si>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</si>
  <si>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</si>
  <si>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</si>
  <si>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</si>
  <si>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</si>
  <si>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</si>
  <si>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</si>
  <si>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</si>
  <si>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</si>
  <si>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</si>
  <si>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</si>
  <si>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</si>
  <si>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</si>
  <si>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</si>
  <si>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</si>
  <si>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</si>
  <si>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</si>
  <si>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</si>
  <si>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</si>
  <si>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</si>
  <si>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</si>
  <si>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</si>
  <si>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</si>
  <si>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</si>
  <si>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</si>
  <si>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</si>
  <si>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</si>
  <si>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</si>
  <si>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</si>
  <si>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</si>
  <si>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</si>
  <si>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</si>
  <si>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</si>
  <si>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</si>
  <si>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</si>
  <si>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</si>
  <si>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</si>
  <si>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</si>
  <si>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</si>
  <si>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</si>
  <si>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</si>
  <si>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</si>
  <si>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</si>
  <si>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</si>
  <si>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</si>
  <si>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</si>
  <si>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</si>
  <si>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</si>
  <si>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</si>
  <si>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</si>
  <si>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</si>
  <si>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</si>
  <si>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</si>
  <si>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</si>
  <si>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</si>
  <si>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</si>
  <si>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</si>
  <si>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</si>
  <si>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</si>
  <si>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</si>
  <si>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</si>
  <si>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</si>
  <si>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</si>
  <si>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</si>
  <si>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</si>
  <si>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</si>
  <si>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</si>
  <si>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</si>
  <si>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</si>
  <si>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</si>
  <si>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</si>
  <si>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</si>
  <si>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</si>
  <si>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</si>
  <si>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</si>
  <si>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</si>
  <si>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</si>
  <si>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</si>
  <si>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</si>
  <si>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</si>
  <si>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</si>
  <si>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</si>
  <si>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</si>
  <si>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</si>
  <si>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</si>
  <si>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</si>
  <si>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</si>
  <si>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</si>
  <si>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</si>
  <si>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</si>
  <si>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</si>
  <si>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</si>
  <si>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</si>
  <si>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</si>
  <si>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</si>
  <si>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</si>
  <si>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</si>
  <si>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</si>
  <si>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</si>
  <si>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</si>
  <si>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</si>
  <si>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</si>
  <si>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</si>
  <si>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</si>
  <si>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</si>
  <si>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</si>
  <si>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</si>
  <si>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</si>
  <si>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</si>
  <si>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</si>
  <si>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</si>
  <si>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</si>
  <si>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</si>
  <si>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</si>
  <si>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</si>
  <si>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</si>
  <si>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</si>
  <si>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</si>
  <si>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</si>
  <si>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</si>
  <si>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</si>
  <si>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</si>
  <si>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</si>
  <si>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</si>
  <si>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</si>
  <si>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</si>
  <si>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</si>
  <si>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</si>
  <si>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</si>
  <si>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</si>
  <si>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</si>
  <si>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</si>
  <si>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</si>
  <si>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</si>
  <si>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</si>
  <si>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</si>
  <si>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</si>
  <si>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</si>
  <si>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</si>
  <si>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</si>
  <si>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</si>
  <si>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</si>
  <si>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</si>
  <si>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</si>
  <si>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</si>
  <si>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</si>
  <si>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</si>
  <si>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</si>
  <si>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</si>
  <si>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</si>
  <si>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</si>
  <si>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</si>
  <si>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</si>
  <si>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</si>
  <si>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</si>
  <si>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</si>
  <si>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</si>
  <si>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</si>
  <si>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</si>
  <si>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</si>
  <si>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</si>
  <si>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</si>
  <si>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</si>
  <si>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</si>
  <si>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</si>
  <si>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</si>
  <si>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</si>
  <si>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</si>
  <si>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</si>
  <si>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</si>
  <si>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</si>
  <si>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</si>
  <si>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</si>
  <si>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</si>
  <si>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</si>
  <si>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</si>
  <si>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</si>
  <si>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</si>
  <si>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</si>
  <si>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</si>
  <si>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</si>
  <si>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</si>
  <si>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</si>
  <si>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</si>
  <si>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</si>
  <si>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</si>
  <si>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</si>
  <si>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</si>
  <si>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</si>
  <si>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</si>
  <si>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</si>
  <si>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</si>
  <si>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</si>
  <si>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</si>
  <si>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</si>
  <si>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</si>
  <si>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</si>
  <si>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</si>
  <si>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</si>
  <si>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</si>
  <si>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</si>
  <si>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</si>
  <si>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</si>
  <si>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</si>
  <si>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</si>
  <si>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</si>
  <si>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</si>
  <si>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</si>
  <si>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</si>
  <si>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</si>
  <si>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</si>
  <si>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</si>
  <si>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</si>
  <si>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</si>
  <si>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</si>
  <si>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</si>
  <si>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</si>
  <si>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</si>
  <si>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</si>
  <si>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</si>
  <si>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</si>
  <si>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</si>
  <si>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</si>
  <si>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</si>
  <si>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</si>
  <si>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</si>
  <si>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</si>
  <si>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</si>
  <si>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</si>
  <si>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</si>
  <si>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</si>
  <si>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</si>
  <si>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</si>
  <si>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</si>
  <si>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</si>
  <si>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</si>
  <si>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</si>
  <si>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</si>
  <si>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</si>
  <si>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</si>
  <si>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</si>
  <si>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</si>
  <si>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</si>
  <si>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</si>
  <si>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</si>
  <si>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</si>
  <si>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</si>
  <si>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</si>
  <si>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</si>
  <si>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</si>
  <si>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</si>
  <si>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</si>
  <si>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</si>
  <si>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</si>
  <si>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</si>
  <si>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</si>
  <si>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</si>
  <si>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</si>
  <si>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</si>
  <si>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</si>
  <si>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</si>
  <si>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</si>
  <si>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</si>
  <si>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</si>
  <si>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</si>
  <si>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</si>
  <si>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</si>
  <si>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</si>
  <si>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</si>
  <si>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</si>
  <si>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</si>
  <si>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</si>
  <si>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</si>
  <si>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</si>
  <si>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</si>
  <si>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</si>
  <si>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</si>
  <si>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</si>
  <si>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</si>
  <si>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</si>
  <si>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</si>
  <si>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</si>
  <si>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</si>
  <si>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</si>
  <si>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</si>
  <si>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</si>
  <si>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</si>
  <si>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</si>
  <si>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</si>
  <si>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</si>
  <si>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</si>
  <si>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</si>
  <si>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</si>
  <si>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</si>
  <si>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</si>
  <si>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</si>
  <si>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</si>
  <si>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</si>
  <si>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</si>
  <si>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</si>
  <si>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</si>
  <si>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</si>
  <si>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</si>
  <si>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</si>
  <si>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</si>
  <si>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</si>
  <si>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</si>
  <si>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</si>
  <si>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</si>
  <si>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</si>
  <si>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</si>
  <si>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</si>
  <si>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</si>
  <si>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</si>
  <si>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</si>
  <si>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</si>
  <si>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</si>
  <si>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</si>
  <si>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</si>
  <si>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</si>
  <si>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</si>
  <si>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</si>
  <si>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</si>
  <si>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</si>
  <si>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</si>
  <si>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</si>
  <si>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</si>
  <si>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</si>
  <si>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</si>
  <si>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</si>
  <si>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</si>
  <si>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</si>
  <si>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</si>
  <si>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</si>
  <si>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</si>
  <si>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</si>
  <si>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</si>
  <si>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</si>
  <si>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</si>
  <si>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</si>
  <si>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</si>
  <si>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</si>
  <si>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</si>
  <si>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</si>
  <si>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</si>
  <si>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</si>
  <si>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</si>
  <si>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</si>
  <si>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</si>
  <si>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</si>
  <si>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</si>
  <si>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</si>
  <si>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</si>
  <si>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</si>
  <si>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</si>
  <si>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</si>
  <si>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</si>
  <si>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</si>
  <si>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</si>
  <si>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</si>
  <si>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</si>
  <si>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</si>
  <si>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</si>
  <si>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</si>
  <si>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</si>
  <si>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</si>
  <si>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</si>
  <si>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</si>
  <si>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</si>
  <si>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</si>
  <si>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</si>
  <si>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</si>
  <si>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</si>
  <si>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</si>
  <si>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</si>
  <si>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</si>
  <si>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</si>
  <si>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</si>
  <si>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</si>
  <si>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</si>
  <si>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</si>
  <si>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</si>
  <si>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</si>
  <si>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</si>
  <si>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</si>
  <si>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</si>
  <si>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</si>
  <si>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</si>
  <si>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</si>
  <si>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</si>
  <si>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</si>
  <si>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</si>
  <si>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</si>
  <si>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</si>
  <si>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</si>
  <si>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</si>
  <si>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</si>
  <si>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</si>
  <si>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</si>
  <si>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</si>
  <si>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</si>
  <si>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</si>
  <si>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</si>
  <si>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</si>
  <si>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</si>
  <si>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</si>
  <si>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</si>
  <si>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</si>
  <si>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</si>
  <si>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</si>
  <si>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</si>
  <si>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</si>
  <si>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</si>
  <si>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</si>
  <si>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</si>
  <si>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</si>
  <si>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</si>
  <si>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</si>
  <si>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</si>
  <si>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</si>
  <si>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</si>
  <si>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</si>
  <si>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</si>
  <si>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</si>
  <si>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</si>
  <si>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</si>
  <si>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</si>
  <si>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</si>
  <si>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</si>
  <si>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</si>
  <si>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</si>
  <si>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</si>
  <si>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</si>
  <si>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</si>
  <si>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</si>
  <si>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</si>
  <si>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</si>
  <si>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</si>
  <si>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</si>
  <si>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</si>
  <si>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</si>
  <si>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</si>
  <si>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</si>
  <si>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</si>
  <si>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</si>
  <si>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</si>
  <si>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</si>
  <si>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</si>
  <si>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</si>
  <si>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</si>
  <si>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</si>
  <si>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</si>
  <si>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</si>
  <si>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</si>
  <si>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</si>
  <si>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</si>
  <si>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</si>
  <si>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</si>
  <si>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</si>
  <si>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</si>
  <si>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</si>
  <si>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</si>
  <si>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</si>
  <si>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</si>
  <si>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</si>
  <si>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</si>
  <si>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</si>
  <si>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</si>
  <si>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</si>
  <si>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</si>
  <si>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</si>
  <si>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</si>
  <si>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</si>
  <si>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</si>
  <si>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</si>
  <si>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</si>
  <si>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</si>
  <si>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</si>
  <si>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</si>
  <si>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</si>
  <si>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</si>
  <si>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</si>
  <si>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</si>
  <si>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</si>
  <si>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</si>
  <si>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</si>
  <si>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</si>
  <si>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</si>
  <si>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</si>
  <si>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</si>
  <si>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</si>
  <si>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</si>
  <si>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</si>
  <si>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</si>
  <si>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</si>
  <si>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</si>
  <si>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</si>
  <si>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</si>
  <si>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</si>
  <si>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</si>
  <si>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</si>
  <si>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</si>
  <si>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</si>
  <si>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</si>
  <si>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</si>
  <si>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</si>
  <si>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</si>
  <si>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</si>
  <si>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</si>
  <si>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</si>
  <si>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</si>
  <si>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</si>
  <si>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</si>
  <si>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</si>
  <si>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</si>
  <si>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</si>
  <si>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</si>
  <si>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</si>
  <si>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</si>
  <si>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</si>
  <si>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</si>
  <si>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</si>
  <si>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</si>
  <si>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</si>
  <si>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</si>
  <si>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</si>
  <si>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</si>
  <si>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</si>
  <si>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</si>
  <si>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</si>
  <si>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</si>
  <si>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</si>
  <si>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</si>
  <si>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</si>
  <si>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</si>
  <si>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</si>
  <si>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</si>
  <si>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</si>
  <si>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</si>
  <si>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</si>
  <si>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</si>
  <si>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</si>
  <si>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</si>
  <si>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</si>
  <si>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</si>
  <si>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</si>
  <si>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</si>
  <si>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</si>
  <si>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</si>
  <si>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</si>
  <si>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</si>
  <si>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</si>
  <si>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</si>
  <si>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</si>
  <si>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</si>
  <si>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</si>
  <si>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</si>
  <si>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</si>
  <si>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</si>
  <si>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</si>
  <si>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</si>
  <si>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</si>
  <si>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</si>
  <si>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</si>
  <si>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</si>
  <si>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</si>
  <si>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</si>
  <si>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</si>
  <si>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</si>
  <si>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</si>
  <si>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</si>
  <si>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</si>
  <si>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</si>
  <si>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</si>
  <si>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</si>
  <si>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</si>
  <si>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</si>
  <si>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</si>
  <si>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</si>
  <si>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</si>
  <si>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</si>
  <si>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</si>
  <si>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</si>
  <si>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</si>
  <si>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</si>
  <si>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</si>
  <si>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</si>
  <si>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</si>
  <si>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</si>
  <si>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</si>
  <si>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</si>
  <si>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</si>
  <si>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</si>
  <si>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</si>
  <si>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</si>
  <si>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</si>
  <si>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</si>
  <si>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</si>
  <si>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</si>
  <si>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</si>
  <si>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</si>
  <si>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</si>
  <si>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</si>
  <si>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</si>
  <si>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</si>
  <si>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</si>
  <si>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</si>
  <si>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</si>
  <si>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</si>
  <si>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</si>
  <si>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</si>
  <si>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</si>
  <si>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</si>
  <si>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</si>
  <si>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</si>
  <si>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</si>
  <si>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</si>
  <si>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</si>
  <si>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</si>
  <si>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</si>
  <si>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</si>
  <si>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</si>
  <si>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</si>
  <si>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</si>
  <si>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</si>
  <si>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</si>
  <si>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</si>
  <si>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</si>
  <si>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</si>
  <si>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</si>
  <si>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</si>
  <si>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</si>
  <si>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</si>
  <si>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</si>
  <si>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</si>
  <si>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</si>
  <si>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</si>
  <si>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</si>
  <si>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</si>
  <si>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</si>
  <si>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</si>
  <si>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</si>
  <si>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</si>
  <si>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</si>
  <si>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</si>
  <si>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</si>
  <si>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</si>
  <si>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</si>
  <si>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</si>
  <si>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</si>
  <si>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</si>
  <si>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</si>
  <si>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</si>
  <si>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</si>
  <si>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</si>
  <si>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</si>
  <si>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</si>
  <si>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</si>
  <si>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</si>
  <si>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</si>
  <si>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</si>
  <si>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</si>
  <si>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</si>
  <si>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</si>
  <si>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</si>
  <si>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</si>
  <si>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</si>
  <si>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</si>
  <si>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</si>
  <si>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</si>
  <si>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</si>
  <si>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</si>
  <si>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</si>
  <si>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</si>
  <si>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</si>
  <si>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</si>
  <si>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</si>
  <si>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</si>
  <si>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</si>
  <si>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</si>
  <si>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</si>
  <si>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</si>
  <si>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</si>
  <si>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</si>
  <si>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</si>
  <si>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</si>
  <si>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</si>
  <si>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</si>
  <si>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</si>
  <si>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</si>
  <si>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</si>
  <si>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</si>
  <si>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</si>
  <si>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</si>
  <si>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</si>
  <si>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</si>
  <si>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</si>
  <si>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</si>
  <si>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</si>
  <si>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</si>
  <si>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</si>
  <si>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</si>
  <si>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</si>
  <si>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</si>
  <si>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</si>
  <si>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</si>
  <si>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</si>
  <si>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</si>
  <si>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</si>
  <si>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</si>
  <si>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</si>
  <si>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</si>
  <si>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</si>
  <si>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</si>
  <si>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</si>
  <si>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</si>
  <si>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</si>
  <si>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</si>
  <si>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</si>
  <si>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</si>
  <si>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</si>
  <si>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</si>
  <si>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</si>
  <si>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</si>
  <si>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</si>
  <si>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</si>
  <si>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</si>
  <si>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</si>
  <si>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</si>
  <si>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</si>
  <si>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</si>
  <si>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</si>
  <si>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</si>
  <si>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</si>
  <si>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</si>
  <si>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</si>
  <si>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</si>
  <si>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</si>
  <si>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</si>
  <si>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</si>
  <si>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</si>
  <si>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</si>
  <si>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</si>
  <si>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</si>
  <si>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</si>
  <si>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</si>
  <si>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</si>
  <si>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</si>
  <si>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</si>
  <si>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</si>
  <si>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</si>
  <si>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</si>
  <si>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</si>
  <si>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</si>
  <si>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</si>
  <si>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</si>
  <si>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</si>
  <si>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</si>
  <si>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</si>
  <si>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</si>
  <si>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</si>
  <si>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</si>
  <si>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</si>
  <si>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</si>
  <si>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</si>
  <si>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</si>
  <si>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</si>
  <si>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</si>
  <si>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</si>
  <si>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</si>
  <si>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</si>
  <si>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</si>
  <si>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</si>
  <si>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</si>
  <si>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</si>
  <si>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</si>
  <si>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</si>
  <si>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</si>
  <si>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</si>
  <si>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</si>
  <si>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</si>
  <si>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</si>
  <si>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</si>
  <si>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</si>
  <si>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</si>
  <si>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</si>
  <si>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</si>
  <si>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</si>
  <si>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</si>
  <si>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</si>
  <si>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</si>
  <si>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</si>
  <si>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</si>
  <si>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</si>
  <si>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</si>
  <si>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</si>
  <si>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</si>
  <si>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</si>
  <si>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</si>
  <si>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</si>
  <si>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</si>
  <si>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</si>
  <si>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</si>
  <si>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</si>
  <si>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</si>
  <si>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</si>
  <si>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</si>
  <si>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</si>
  <si>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</si>
  <si>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</si>
  <si>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</si>
  <si>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</si>
  <si>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</si>
  <si>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</si>
  <si>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</si>
  <si>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</si>
  <si>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</si>
  <si>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</si>
  <si>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</si>
  <si>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</si>
  <si>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</si>
  <si>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</si>
  <si>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</si>
  <si>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</si>
  <si>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</si>
  <si>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</si>
  <si>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</si>
  <si>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</si>
  <si>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</si>
  <si>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</si>
  <si>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</si>
  <si>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</si>
  <si>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</si>
  <si>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</si>
  <si>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</si>
  <si>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</si>
  <si>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</si>
  <si>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</si>
  <si>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</si>
  <si>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</si>
  <si>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</si>
  <si>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</si>
  <si>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</si>
  <si>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</si>
  <si>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</si>
  <si>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</si>
  <si>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</si>
  <si>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</si>
  <si>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</si>
  <si>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</si>
  <si>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</si>
  <si>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</si>
  <si>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</si>
  <si>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</si>
  <si>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</si>
  <si>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</si>
  <si>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</si>
  <si>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</si>
  <si>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</si>
  <si>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</si>
  <si>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</si>
  <si>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</si>
  <si>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</si>
  <si>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</si>
  <si>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</si>
  <si>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</si>
  <si>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</si>
  <si>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</si>
  <si>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</si>
  <si>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</si>
  <si>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</si>
  <si>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</si>
  <si>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</si>
  <si>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</si>
  <si>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</si>
  <si>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</si>
  <si>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</si>
  <si>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</si>
  <si>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</si>
  <si>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</si>
  <si>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</si>
  <si>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</si>
  <si>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</si>
  <si>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</si>
  <si>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</si>
  <si>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</si>
  <si>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</si>
  <si>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</si>
  <si>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</si>
  <si>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</si>
  <si>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</si>
  <si>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</si>
  <si>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</si>
  <si>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</si>
  <si>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</si>
  <si>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</si>
  <si>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</si>
  <si>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</si>
  <si>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</si>
  <si>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</si>
  <si>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</si>
  <si>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</si>
  <si>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</si>
  <si>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</si>
  <si>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</si>
  <si>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</si>
  <si>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</si>
  <si>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</si>
  <si>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</si>
  <si>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</si>
  <si>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</si>
  <si>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</si>
  <si>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</si>
  <si>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</si>
  <si>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</si>
  <si>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</si>
  <si>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</si>
  <si>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</si>
  <si>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</si>
  <si>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</si>
  <si>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</si>
  <si>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</si>
  <si>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</si>
  <si>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</si>
  <si>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</si>
  <si>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</si>
  <si>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</si>
  <si>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</si>
  <si>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</si>
  <si>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</si>
  <si>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</si>
  <si>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</si>
  <si>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</si>
  <si>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</si>
  <si>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</si>
  <si>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</si>
  <si>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</si>
  <si>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</si>
  <si>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</si>
  <si>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</si>
  <si>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</si>
  <si>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</si>
  <si>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</si>
  <si>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</si>
  <si>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</si>
  <si>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</si>
  <si>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</si>
  <si>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</si>
  <si>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</si>
  <si>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</si>
  <si>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</si>
  <si>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</si>
  <si>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</si>
  <si>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</si>
  <si>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</si>
  <si>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</si>
  <si>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</si>
  <si>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</si>
  <si>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</si>
  <si>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</si>
  <si>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</si>
  <si>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</si>
  <si>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</si>
  <si>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</si>
  <si>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</si>
  <si>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</si>
  <si>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</si>
  <si>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</si>
  <si>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</si>
  <si>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</si>
  <si>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</si>
  <si>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</si>
  <si>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</si>
  <si>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</si>
  <si>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</si>
  <si>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</si>
  <si>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</si>
  <si>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</si>
  <si>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</si>
  <si>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</si>
  <si>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</si>
  <si>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</si>
  <si>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</si>
  <si>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</si>
  <si>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</si>
  <si>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</si>
  <si>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</si>
  <si>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</si>
  <si>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</si>
  <si>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</si>
  <si>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</si>
  <si>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</si>
  <si>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</si>
  <si>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</si>
  <si>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</si>
  <si>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</si>
  <si>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</si>
  <si>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</si>
  <si>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</si>
  <si>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</si>
  <si>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</si>
  <si>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</si>
  <si>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</si>
  <si>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</si>
  <si>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</si>
  <si>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</si>
  <si>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</si>
  <si>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</si>
  <si>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</si>
  <si>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</si>
  <si>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</si>
  <si>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</si>
  <si>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</si>
  <si>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</si>
  <si>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</si>
  <si>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</si>
  <si>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</si>
  <si>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</si>
  <si>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</si>
  <si>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</si>
  <si>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</si>
  <si>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</si>
  <si>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</si>
  <si>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</si>
  <si>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</si>
  <si>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</si>
  <si>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</si>
  <si>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</si>
  <si>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</si>
  <si>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</si>
  <si>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</si>
  <si>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</si>
  <si>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</si>
  <si>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</si>
  <si>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</si>
  <si>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</si>
  <si>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</si>
  <si>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</si>
  <si>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</si>
  <si>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</si>
  <si>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</si>
  <si>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</si>
  <si>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</si>
  <si>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</si>
  <si>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</si>
  <si>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</si>
  <si>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</si>
  <si>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</si>
  <si>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</si>
  <si>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</si>
  <si>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</si>
  <si>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</si>
  <si>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</si>
  <si>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</si>
  <si>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</si>
  <si>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</si>
  <si>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</si>
  <si>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</si>
  <si>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</si>
  <si>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</si>
  <si>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</si>
  <si>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</si>
  <si>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</si>
  <si>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</si>
  <si>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</si>
  <si>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</si>
  <si>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</si>
  <si>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</si>
  <si>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</si>
  <si>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</si>
  <si>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</si>
  <si>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</si>
  <si>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</si>
  <si>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</si>
  <si>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</si>
  <si>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</si>
  <si>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</si>
  <si>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</si>
  <si>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</si>
  <si>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</si>
  <si>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</si>
  <si>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</si>
  <si>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</si>
  <si>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</si>
  <si>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</si>
  <si>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</si>
  <si>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</si>
  <si>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</si>
  <si>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</si>
  <si>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</si>
  <si>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</si>
  <si>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</si>
  <si>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</si>
  <si>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</si>
  <si>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</si>
  <si>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</si>
  <si>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</si>
  <si>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</si>
  <si>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</si>
  <si>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</si>
  <si>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</si>
  <si>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</si>
  <si>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</si>
  <si>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</si>
  <si>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</si>
  <si>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</si>
  <si>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</si>
  <si>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</si>
  <si>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</si>
  <si>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</si>
  <si>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</si>
  <si>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</si>
  <si>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</si>
  <si>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</si>
  <si>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</si>
  <si>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</si>
  <si>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</si>
  <si>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</si>
  <si>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</si>
  <si>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</si>
  <si>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</si>
  <si>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</si>
  <si>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</si>
  <si>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</si>
  <si>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</si>
  <si>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</si>
  <si>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</si>
  <si>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</si>
  <si>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</si>
  <si>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</si>
  <si>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</si>
  <si>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</si>
  <si>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</si>
  <si>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</si>
  <si>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</si>
  <si>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</si>
  <si>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</si>
  <si>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</si>
  <si>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</si>
  <si>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</si>
  <si>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</si>
  <si>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</si>
  <si>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</si>
  <si>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</si>
  <si>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</si>
  <si>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</si>
  <si>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</si>
  <si>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</si>
  <si>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</si>
  <si>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</si>
  <si>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</si>
  <si>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</si>
  <si>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</si>
  <si>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</si>
  <si>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</si>
  <si>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</si>
  <si>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</si>
  <si>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</si>
  <si>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</si>
  <si>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</si>
  <si>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</si>
  <si>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</si>
  <si>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</si>
  <si>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</si>
  <si>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</si>
  <si>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</si>
  <si>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</si>
  <si>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</si>
  <si>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</si>
  <si>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</si>
  <si>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</si>
  <si>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</si>
  <si>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</si>
  <si>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</si>
  <si>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</si>
  <si>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</si>
  <si>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</si>
  <si>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</si>
  <si>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</si>
  <si>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</si>
  <si>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</si>
  <si>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</si>
  <si>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</si>
  <si>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</si>
  <si>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</si>
  <si>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</si>
  <si>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</si>
  <si>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</si>
  <si>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</si>
  <si>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</si>
  <si>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</si>
  <si>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</si>
  <si>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</si>
  <si>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</si>
  <si>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</si>
  <si>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</si>
  <si>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</si>
  <si>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</si>
  <si>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</si>
  <si>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</si>
  <si>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</si>
  <si>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</si>
  <si>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</si>
  <si>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</si>
  <si>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</si>
  <si>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</si>
  <si>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</si>
  <si>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</si>
  <si>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</si>
  <si>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</si>
  <si>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</si>
  <si>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</si>
  <si>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</si>
  <si>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</si>
  <si>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</si>
  <si>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</si>
  <si>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</si>
  <si>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</si>
  <si>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</si>
  <si>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</si>
  <si>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</si>
  <si>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</si>
  <si>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</si>
  <si>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</si>
  <si>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</si>
  <si>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</si>
  <si>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</si>
  <si>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</si>
  <si>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</si>
  <si>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</si>
  <si>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</si>
  <si>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</si>
  <si>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</si>
  <si>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</si>
  <si>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</si>
  <si>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</si>
  <si>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</si>
  <si>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</si>
  <si>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</si>
  <si>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</si>
  <si>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</si>
  <si>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</si>
  <si>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</si>
  <si>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</si>
  <si>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No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</si>
  <si>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</si>
  <si>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</si>
  <si>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</si>
  <si>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</si>
  <si>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</si>
  <si>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</si>
  <si>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</si>
  <si>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</si>
  <si>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</si>
  <si>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</si>
  <si>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</si>
  <si>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</si>
  <si>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</si>
  <si>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</si>
  <si>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</si>
  <si>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</si>
  <si>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</si>
  <si>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</si>
  <si>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</si>
  <si>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</si>
  <si>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</si>
  <si>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</si>
  <si>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</si>
  <si>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</si>
  <si>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Exit all risk positions until clarity returns   →  A = 8.00
(b)  Rotate to defensive sectors   →  A = 6.00
(c)  Hold   →  A = 4.00
(d)  View it as a buying opportunity   →  A = 2.00</t>
  </si>
  <si>
    <t>(a)  Minimise all risk — capital preservation   →  A = 9.00
(b)  Modest risk for a slight return premium   →  A = 6.00
(c)  Balanced risk / return   →  A = 4.00
(d)  Take full market risk   →  A = 2.00
(e)  Beyond market risk — leverage or concentration   →  A = 1.00</t>
  </si>
  <si>
    <t>(a)  Yes — still recovering   →  A = 8.00
(b)  Yes — mostly recovered   →  A = 6.00
(c)  No, but finances have been volatile   →  A = 5.00
(d)  No, stable finances throughout   →  A = 4.00</t>
  </si>
  <si>
    <t>(a)  A dividend-paying utility   →  A = 7.00
(b)  A diversified conglomerate   →  A = 5.00
(c)  A fast-growing tech company   →  A = 2.00
(d)  A pre-IPO startup   →  A = 1.00</t>
  </si>
  <si>
    <t>(a)  I would not take it at any amount   →  A = 9.00
(b)  At least $500   →  A = 6.00
(c)  At least $200   →  A = 4.00
(d)  At least $120   →  A = 2.00
(e)  As long as X ≥ $100 (fair bet)   →  A = 1.00</t>
  </si>
  <si>
    <t>(a)  Switch to TIPS / short-duration bonds   →  A = 8.00
(b)  Increase commodity or real-asset exposure   →  A = 5.00
(c)  Maintain equity exposure   →  A = 4.00
(d)  Borrow to buy more hard assets   →  A = 1.50</t>
  </si>
  <si>
    <t>(a)  Not at all comfortable   →  A = 8.00
(b)  Somewhat comfortable   →  A = 5.00
(c)  Very comfortable   →  A = 2.50</t>
  </si>
  <si>
    <t>(a)  $100 → $120 (small real gain)   →  A = 8.00
(b)  $100 → $180 (moderate growth)   →  A = 5.00
(c)  $100 → $250 (strong growth)   →  A = 3.00
(d)  $100 → $400, but you risked going to $60   →  A = 1.50</t>
  </si>
  <si>
    <t>(a)  Stick with what worked before   →  A = 7.00
(b)  Make small, cautious adjustments   →  A = 5.00
(c)  Adapt thoughtfully   →  A = 3.00
(d)  Aggressively seize new opportunities   →  A = 1.00</t>
  </si>
  <si>
    <t>(a)  Never — this is a one-off investment   →  A = 7.00
(b)  Irregularly, in small amounts   →  A = 5.00
(c)  Monthly via automatic contributions   →  A = 3.00
(d)  I will actively build this up over decades   →  A = 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</si>
</sst>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2" fillId="10" borderId="0" xfId="1" applyFont="1" applyFill="1"/>
    <xf numFmtId="0" fontId="27" fillId="11" borderId="0" xfId="1" applyFont="1" applyFill="1"/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vertical="top" wrapText="1"/>
    </xf>
    <xf numFmtId="0" fontId="0" fillId="0" borderId="0" xfId="0"/>
    <xf numFmtId="0" fontId="6" fillId="2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43" fillId="0" borderId="0" xfId="1" applyFont="1" applyAlignment="1">
      <alignment horizontal="left" vertical="center"/>
    </xf>
    <xf numFmtId="0" fontId="21" fillId="0" borderId="0" xfId="1"/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7" fillId="18" borderId="0" xfId="1" applyFont="1" applyFill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46" fillId="0" borderId="7" xfId="1" applyFont="1" applyBorder="1" applyAlignment="1">
      <alignment horizontal="center" vertical="center" wrapText="1"/>
    </xf>
    <xf numFmtId="0" fontId="21" fillId="0" borderId="9" xfId="1" applyBorder="1"/>
    <xf numFmtId="0" fontId="27" fillId="18" borderId="10" xfId="1" applyFont="1" applyFill="1" applyBorder="1" applyAlignment="1">
      <alignment horizontal="left" vertical="center"/>
    </xf>
    <xf numFmtId="0" fontId="38" fillId="19" borderId="7" xfId="1" applyFont="1" applyFill="1" applyBorder="1" applyAlignment="1">
      <alignment horizontal="right" vertical="center"/>
    </xf>
    <xf numFmtId="0" fontId="28" fillId="0" borderId="7" xfId="1" applyFont="1" applyBorder="1" applyAlignment="1">
      <alignment horizontal="left" vertical="center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</c:v>
                </c:pt>
                <c:pt idx="1">
                  <c:v>0.58945893464594201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0.41054106535405799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24.06%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CB-A948-BD2C-BE895A7B4809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CB-A948-BD2C-BE895A7B4809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CB-A948-BD2C-BE895A7B4809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CB-A948-BD2C-BE895A7B4809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SS  Risk: 24.06%
Return: 24.70%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CCB-A948-BD2C-BE895A7B48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0.24061103090861682</c:v>
              </c:pt>
            </c:numLit>
          </c:xVal>
          <c:yVal>
            <c:numLit>
              <c:formatCode>General</c:formatCode>
              <c:ptCount val="1"/>
              <c:pt idx="0">
                <c:v>0.24703220092752032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CCB-A948-BD2C-BE895A7B4809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LO  Risk: 24.06%
Return: 21.90%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CCB-A948-BD2C-BE895A7B48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0.24060908557494326</c:v>
              </c:pt>
            </c:numLit>
          </c:xVal>
          <c:yVal>
            <c:numLit>
              <c:formatCode>General</c:formatCode>
              <c:ptCount val="1"/>
              <c:pt idx="0">
                <c:v>0.21900885961499147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CCB-A948-BD2C-BE895A7B4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344896"/>
        <c:axId val="1607349376"/>
      </c:scatterChart>
      <c:valAx>
        <c:axId val="160734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607349376"/>
        <c:crosses val="autoZero"/>
        <c:crossBetween val="midCat"/>
      </c:valAx>
      <c:valAx>
        <c:axId val="1607349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607344896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2" name="MVP_FrontierChart">
          <a:extLst>
            <a:ext uri="{FF2B5EF4-FFF2-40B4-BE49-F238E27FC236}">
              <a16:creationId xmlns:a16="http://schemas.microsoft.com/office/drawing/2014/main" id="{BADB0011-87C4-CD56-FC33-BBEBF872A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abSelected="1" zoomScale="90" zoomScaleNormal="70" workbookViewId="0">
      <pane ySplit="8" topLeftCell="A10" activePane="bottomLeft" state="frozen"/>
      <selection activeCell="H18" sqref="H18"/>
      <selection pane="bottomLeft" activeCell="C25" sqref="C25"/>
    </sheetView>
    <sheetView workbookViewId="1">
      <selection sqref="A1:G1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41" t="s">
        <v>0</v>
      </c>
      <c r="B1" s="130"/>
      <c r="C1" s="130"/>
      <c r="D1" s="130"/>
      <c r="E1" s="130"/>
      <c r="F1" s="130"/>
      <c r="G1" s="130"/>
    </row>
    <row r="2" spans="1:7" x14ac:dyDescent="0.2">
      <c r="A2" s="143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42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44" t="s">
        <v>3</v>
      </c>
      <c r="C6" s="145"/>
      <c r="D6" s="140"/>
      <c r="E6" s="139" t="s">
        <v>4</v>
      </c>
      <c r="F6" s="140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337</v>
      </c>
      <c r="C9" s="5" t="s">
        <v>253</v>
      </c>
      <c r="D9" s="5" t="s">
        <v>338</v>
      </c>
      <c r="E9" s="50" t="s">
        <v>1383</v>
      </c>
      <c r="F9" s="6" t="s">
        <v>24</v>
      </c>
      <c r="G9" s="7">
        <f>IF(OR(B9="",F9=""),"",IFERROR(VLOOKUP(B9&amp;"-"&amp;LOWER(F9),'10_Question_Bank'!$A:$B,2,FALSE),"?"))</f>
        <v>8</v>
      </c>
    </row>
    <row r="10" spans="1:7" ht="72" customHeight="1" x14ac:dyDescent="0.2">
      <c r="A10" s="4">
        <v>2</v>
      </c>
      <c r="B10" s="49" t="s">
        <v>902</v>
      </c>
      <c r="C10" s="5" t="s">
        <v>884</v>
      </c>
      <c r="D10" s="5" t="s">
        <v>903</v>
      </c>
      <c r="E10" s="50" t="s">
        <v>1388</v>
      </c>
      <c r="F10" s="6" t="s">
        <v>33</v>
      </c>
      <c r="G10" s="7">
        <f>IF(OR(B10="",F10=""),"",IFERROR(VLOOKUP(B10&amp;"-"&amp;LOWER(F10),'10_Question_Bank'!$A:$B,2,FALSE),"?"))</f>
        <v>1.5</v>
      </c>
    </row>
    <row r="11" spans="1:7" ht="72" customHeight="1" x14ac:dyDescent="0.2">
      <c r="A11" s="4">
        <v>3</v>
      </c>
      <c r="B11" s="49" t="s">
        <v>551</v>
      </c>
      <c r="C11" s="5" t="s">
        <v>467</v>
      </c>
      <c r="D11" s="5" t="s">
        <v>552</v>
      </c>
      <c r="E11" s="50" t="s">
        <v>1386</v>
      </c>
      <c r="F11" s="6" t="s">
        <v>30</v>
      </c>
      <c r="G11" s="7">
        <f>IF(OR(B11="",F11=""),"",IFERROR(VLOOKUP(B11&amp;"-"&amp;LOWER(F11),'10_Question_Bank'!$A:$B,2,FALSE),"?"))</f>
        <v>2</v>
      </c>
    </row>
    <row r="12" spans="1:7" ht="72" customHeight="1" x14ac:dyDescent="0.2">
      <c r="A12" s="4">
        <v>4</v>
      </c>
      <c r="B12" s="49" t="s">
        <v>674</v>
      </c>
      <c r="C12" s="5" t="s">
        <v>675</v>
      </c>
      <c r="D12" s="5" t="s">
        <v>676</v>
      </c>
      <c r="E12" s="50" t="s">
        <v>1389</v>
      </c>
      <c r="F12" s="6" t="s">
        <v>30</v>
      </c>
      <c r="G12" s="7">
        <f>IF(OR(B12="",F12=""),"",IFERROR(VLOOKUP(B12&amp;"-"&amp;LOWER(F12),'10_Question_Bank'!$A:$B,2,FALSE),"?"))</f>
        <v>2.5</v>
      </c>
    </row>
    <row r="13" spans="1:7" ht="72" customHeight="1" x14ac:dyDescent="0.2">
      <c r="A13" s="4">
        <v>5</v>
      </c>
      <c r="B13" s="49" t="s">
        <v>833</v>
      </c>
      <c r="C13" s="5" t="s">
        <v>779</v>
      </c>
      <c r="D13" s="5" t="s">
        <v>834</v>
      </c>
      <c r="E13" s="50" t="s">
        <v>1390</v>
      </c>
      <c r="F13" s="6" t="s">
        <v>33</v>
      </c>
      <c r="G13" s="7">
        <f>IF(OR(B13="",F13=""),"",IFERROR(VLOOKUP(B13&amp;"-"&amp;LOWER(F13),'10_Question_Bank'!$A:$B,2,FALSE),"?"))</f>
        <v>1.5</v>
      </c>
    </row>
    <row r="14" spans="1:7" ht="72" customHeight="1" x14ac:dyDescent="0.2">
      <c r="A14" s="4">
        <v>6</v>
      </c>
      <c r="B14" s="49" t="s">
        <v>664</v>
      </c>
      <c r="C14" s="5" t="s">
        <v>572</v>
      </c>
      <c r="D14" s="5" t="s">
        <v>665</v>
      </c>
      <c r="E14" s="50" t="s">
        <v>1391</v>
      </c>
      <c r="F14" s="6" t="s">
        <v>33</v>
      </c>
      <c r="G14" s="7">
        <f>IF(OR(B14="",F14=""),"",IFERROR(VLOOKUP(B14&amp;"-"&amp;LOWER(F14),'10_Question_Bank'!$A:$B,2,FALSE),"?"))</f>
        <v>1</v>
      </c>
    </row>
    <row r="15" spans="1:7" ht="72" customHeight="1" x14ac:dyDescent="0.2">
      <c r="A15" s="4">
        <v>7</v>
      </c>
      <c r="B15" s="49" t="s">
        <v>1046</v>
      </c>
      <c r="C15" s="5" t="s">
        <v>982</v>
      </c>
      <c r="D15" s="5" t="s">
        <v>1047</v>
      </c>
      <c r="E15" s="50" t="s">
        <v>1385</v>
      </c>
      <c r="F15" s="6" t="s">
        <v>33</v>
      </c>
      <c r="G15" s="7">
        <f>IF(OR(B15="",F15=""),"",IFERROR(VLOOKUP(B15&amp;"-"&amp;LOWER(F15),'10_Question_Bank'!$A:$B,2,FALSE),"?"))</f>
        <v>4</v>
      </c>
    </row>
    <row r="16" spans="1:7" ht="72" customHeight="1" x14ac:dyDescent="0.2">
      <c r="A16" s="4">
        <v>8</v>
      </c>
      <c r="B16" s="49" t="s">
        <v>232</v>
      </c>
      <c r="C16" s="5" t="s">
        <v>138</v>
      </c>
      <c r="D16" s="5" t="s">
        <v>233</v>
      </c>
      <c r="E16" s="50" t="s">
        <v>1392</v>
      </c>
      <c r="F16" s="6" t="s">
        <v>33</v>
      </c>
      <c r="G16" s="7">
        <f>IF(OR(B16="",F16=""),"",IFERROR(VLOOKUP(B16&amp;"-"&amp;LOWER(F16),'10_Question_Bank'!$A:$B,2,FALSE),"?"))</f>
        <v>2</v>
      </c>
    </row>
    <row r="17" spans="1:7" ht="72" customHeight="1" x14ac:dyDescent="0.2">
      <c r="A17" s="4">
        <v>9</v>
      </c>
      <c r="B17" s="49" t="s">
        <v>105</v>
      </c>
      <c r="C17" s="5" t="s">
        <v>22</v>
      </c>
      <c r="D17" s="5" t="s">
        <v>106</v>
      </c>
      <c r="E17" s="50" t="s">
        <v>1387</v>
      </c>
      <c r="F17" s="6" t="s">
        <v>33</v>
      </c>
      <c r="G17" s="7">
        <f>IF(OR(B17="",F17=""),"",IFERROR(VLOOKUP(B17&amp;"-"&amp;LOWER(F17),'10_Question_Bank'!$A:$B,2,FALSE),"?"))</f>
        <v>2</v>
      </c>
    </row>
    <row r="18" spans="1:7" ht="72" customHeight="1" x14ac:dyDescent="0.2">
      <c r="A18" s="4">
        <v>10</v>
      </c>
      <c r="B18" s="49" t="s">
        <v>454</v>
      </c>
      <c r="C18" s="5" t="s">
        <v>360</v>
      </c>
      <c r="D18" s="5" t="s">
        <v>455</v>
      </c>
      <c r="E18" s="50" t="s">
        <v>1384</v>
      </c>
      <c r="F18" s="6" t="s">
        <v>36</v>
      </c>
      <c r="G18" s="7">
        <f>IF(OR(B18="",F18=""),"",IFERROR(VLOOKUP(B18&amp;"-"&amp;LOWER(F18),'10_Question_Bank'!$A:$B,2,FALSE),"?"))</f>
        <v>1</v>
      </c>
    </row>
    <row r="20" spans="1:7" ht="19" x14ac:dyDescent="0.2">
      <c r="B20" s="138" t="s">
        <v>12</v>
      </c>
      <c r="C20" s="130"/>
      <c r="D20" s="130"/>
      <c r="E20" s="130"/>
      <c r="F20" s="130"/>
      <c r="G20" s="9">
        <f>'11_Scoring'!$C$17</f>
        <v>2.3006993006993017</v>
      </c>
    </row>
    <row r="21" spans="1:7" ht="32" x14ac:dyDescent="0.2">
      <c r="B21" s="138" t="s">
        <v>13</v>
      </c>
      <c r="C21" s="130"/>
      <c r="D21" s="130"/>
      <c r="E21" s="130"/>
      <c r="F21" s="130"/>
      <c r="G21" s="10" t="str">
        <f>'11_Scoring'!$C$18</f>
        <v>Moderately Aggressive</v>
      </c>
    </row>
    <row r="23" spans="1:7" x14ac:dyDescent="0.2">
      <c r="B23" s="129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3">
    <dataValidation type="list" allowBlank="1" showInputMessage="1" showErrorMessage="1" errorTitle="Invalid answer" error="Choose one of: a,b,c,d" sqref="F13:F16 F9:F11" xr:uid="{1A9A122C-2F48-FF42-A0C6-2B444309EE34}">
      <formula1>"a,b,c,d"</formula1>
    </dataValidation>
    <dataValidation type="list" allowBlank="1" showInputMessage="1" showErrorMessage="1" errorTitle="Invalid answer" error="Choose one of: a,b,c" sqref="F12" xr:uid="{5E6F5DD2-FB8F-BF41-87FD-9FBF0EAF5431}">
      <formula1>"a,b,c"</formula1>
    </dataValidation>
    <dataValidation type="list" allowBlank="1" showInputMessage="1" showErrorMessage="1" errorTitle="Invalid answer" error="Choose one of: a,b,c,d,e" sqref="F17:F18" xr:uid="{0AC766D7-5233-0541-A7A5-FB281F1DEDFB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opLeftCell="J1" zoomScaleNormal="85" workbookViewId="0">
      <selection activeCell="R25" sqref="R25"/>
    </sheetView>
    <sheetView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8" t="s">
        <v>1352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2" spans="1:12" ht="18" customHeight="1" x14ac:dyDescent="0.2">
      <c r="A2" s="149" t="s">
        <v>1353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</row>
    <row r="3" spans="1:12" ht="18" customHeight="1" x14ac:dyDescent="0.2"/>
    <row r="4" spans="1:12" ht="21.75" customHeight="1" x14ac:dyDescent="0.2">
      <c r="A4" s="150" t="s">
        <v>1354</v>
      </c>
      <c r="B4" s="147"/>
      <c r="C4" s="147"/>
      <c r="D4" s="147"/>
      <c r="F4" s="146"/>
      <c r="G4" s="147"/>
      <c r="H4" s="147"/>
      <c r="I4" s="147"/>
      <c r="J4" s="147"/>
      <c r="K4" s="147"/>
      <c r="L4" s="147"/>
    </row>
    <row r="5" spans="1:12" ht="19.5" customHeight="1" thickBot="1" x14ac:dyDescent="0.25">
      <c r="A5" s="106" t="s">
        <v>1355</v>
      </c>
      <c r="B5" s="31">
        <f>'12_Optimizer'!B16</f>
        <v>0.24060913321719307</v>
      </c>
      <c r="C5" s="146" t="s">
        <v>1356</v>
      </c>
      <c r="D5" s="147"/>
    </row>
    <row r="6" spans="1:12" ht="19.5" customHeight="1" thickBot="1" x14ac:dyDescent="0.25">
      <c r="A6" s="106" t="s">
        <v>1357</v>
      </c>
      <c r="B6" s="107" t="s">
        <v>1358</v>
      </c>
      <c r="C6" s="146" t="s">
        <v>1359</v>
      </c>
      <c r="D6" s="147"/>
    </row>
    <row r="7" spans="1:12" ht="19.5" customHeight="1" x14ac:dyDescent="0.2">
      <c r="A7" s="106" t="s">
        <v>1360</v>
      </c>
      <c r="B7" s="108">
        <v>3.5000000000000003E-2</v>
      </c>
      <c r="C7" s="146" t="s">
        <v>1361</v>
      </c>
      <c r="D7" s="147"/>
    </row>
    <row r="9" spans="1:12" ht="25.5" customHeight="1" x14ac:dyDescent="0.2">
      <c r="A9" s="151"/>
      <c r="B9" s="147"/>
      <c r="C9" s="147"/>
      <c r="D9" s="147"/>
    </row>
    <row r="11" spans="1:12" ht="21.75" customHeight="1" x14ac:dyDescent="0.2">
      <c r="A11" s="150" t="s">
        <v>1362</v>
      </c>
      <c r="B11" s="147"/>
      <c r="C11" s="147"/>
      <c r="D11" s="147"/>
      <c r="F11" s="151"/>
      <c r="G11" s="147"/>
      <c r="H11" s="147"/>
      <c r="I11" s="147"/>
      <c r="J11" s="147"/>
      <c r="K11" s="147"/>
      <c r="L11" s="147"/>
    </row>
    <row r="12" spans="1:12" ht="18" customHeight="1" x14ac:dyDescent="0.2">
      <c r="A12" s="109" t="s">
        <v>1363</v>
      </c>
      <c r="B12" s="110">
        <f>SUMPRODUCT(C19:C28,D19:D28)</f>
        <v>0.21900885961499147</v>
      </c>
      <c r="C12" s="146" t="s">
        <v>1364</v>
      </c>
      <c r="D12" s="147"/>
      <c r="F12" s="152"/>
      <c r="G12" s="153"/>
      <c r="H12" s="111"/>
      <c r="I12" s="111"/>
      <c r="J12" s="111"/>
    </row>
    <row r="13" spans="1:12" ht="19.5" customHeight="1" x14ac:dyDescent="0.2">
      <c r="A13" s="109" t="s">
        <v>1335</v>
      </c>
      <c r="B13" s="110">
        <f>SQRT(B14)</f>
        <v>0.24060908557494326</v>
      </c>
      <c r="C13" s="146" t="s">
        <v>1365</v>
      </c>
      <c r="D13" s="147"/>
      <c r="F13" s="156"/>
      <c r="G13" s="153"/>
      <c r="H13" s="112"/>
      <c r="I13" s="112"/>
      <c r="J13" s="113"/>
    </row>
    <row r="14" spans="1:12" ht="19.5" customHeight="1" x14ac:dyDescent="0.2">
      <c r="A14" s="109" t="s">
        <v>1366</v>
      </c>
      <c r="B14" s="114">
        <f>SUMPRODUCT(C19:C28,MMULT(B33:K42,C19:C28))</f>
        <v>5.7892732061210372E-2</v>
      </c>
      <c r="C14" s="146" t="s">
        <v>1367</v>
      </c>
      <c r="D14" s="147"/>
      <c r="F14" s="156"/>
      <c r="G14" s="153"/>
      <c r="H14" s="112"/>
      <c r="I14" s="112"/>
      <c r="J14" s="113"/>
    </row>
    <row r="15" spans="1:12" ht="19.5" customHeight="1" x14ac:dyDescent="0.2">
      <c r="A15" s="109" t="s">
        <v>1326</v>
      </c>
      <c r="B15" s="115">
        <f>IF(B13=0,"",(B12-B7)/B13)</f>
        <v>0.76476272363238607</v>
      </c>
      <c r="C15" s="146" t="s">
        <v>1368</v>
      </c>
      <c r="D15" s="147"/>
      <c r="F15" s="156"/>
      <c r="G15" s="153"/>
      <c r="H15" s="112"/>
      <c r="I15" s="112"/>
      <c r="J15" s="113"/>
    </row>
    <row r="17" spans="1:12" ht="21.75" customHeight="1" x14ac:dyDescent="0.2">
      <c r="A17" s="154" t="s">
        <v>1369</v>
      </c>
      <c r="B17" s="154"/>
      <c r="C17" s="154"/>
      <c r="D17" s="154"/>
      <c r="F17" s="151"/>
      <c r="G17" s="151"/>
      <c r="H17" s="151"/>
      <c r="I17" s="151"/>
      <c r="J17" s="151"/>
      <c r="K17" s="151"/>
      <c r="L17" s="151"/>
    </row>
    <row r="18" spans="1:12" ht="18" customHeight="1" thickBot="1" x14ac:dyDescent="0.25">
      <c r="A18" s="116" t="s">
        <v>1109</v>
      </c>
      <c r="B18" s="116" t="s">
        <v>7</v>
      </c>
      <c r="C18" s="116" t="s">
        <v>1086</v>
      </c>
      <c r="D18" s="116" t="s">
        <v>1370</v>
      </c>
      <c r="F18" s="111"/>
      <c r="G18" s="111"/>
      <c r="H18" s="111"/>
      <c r="I18" s="111"/>
      <c r="J18" s="111"/>
      <c r="K18" s="111"/>
    </row>
    <row r="19" spans="1:12" ht="18" customHeight="1" thickBot="1" x14ac:dyDescent="0.25">
      <c r="A19" s="117" t="s">
        <v>1112</v>
      </c>
      <c r="B19" s="117" t="s">
        <v>1218</v>
      </c>
      <c r="C19" s="118">
        <v>0</v>
      </c>
      <c r="D19" s="119">
        <f>'3_Summary'!H6</f>
        <v>2.3300000000000001E-2</v>
      </c>
      <c r="F19" s="120"/>
      <c r="G19" s="112"/>
      <c r="H19" s="112"/>
      <c r="I19" s="113"/>
      <c r="J19" s="112"/>
      <c r="K19" s="112"/>
    </row>
    <row r="20" spans="1:12" ht="18" customHeight="1" thickBot="1" x14ac:dyDescent="0.25">
      <c r="A20" s="121" t="s">
        <v>1113</v>
      </c>
      <c r="B20" s="121" t="s">
        <v>1220</v>
      </c>
      <c r="C20" s="118">
        <v>0.58945893464594201</v>
      </c>
      <c r="D20" s="119">
        <f>'3_Summary'!H7</f>
        <v>0.26540000000000002</v>
      </c>
      <c r="F20" s="120"/>
      <c r="G20" s="112"/>
      <c r="H20" s="112"/>
      <c r="I20" s="113"/>
      <c r="J20" s="112"/>
      <c r="K20" s="112"/>
    </row>
    <row r="21" spans="1:12" ht="18" customHeight="1" thickBot="1" x14ac:dyDescent="0.25">
      <c r="A21" s="117" t="s">
        <v>1114</v>
      </c>
      <c r="B21" s="117" t="s">
        <v>1223</v>
      </c>
      <c r="C21" s="118">
        <v>0</v>
      </c>
      <c r="D21" s="119">
        <f>'3_Summary'!H8</f>
        <v>-6.3799999999999996E-2</v>
      </c>
      <c r="F21" s="120"/>
      <c r="G21" s="112"/>
      <c r="H21" s="112"/>
      <c r="I21" s="113"/>
      <c r="J21" s="112"/>
      <c r="K21" s="112"/>
    </row>
    <row r="22" spans="1:12" ht="18" customHeight="1" thickBot="1" x14ac:dyDescent="0.25">
      <c r="A22" s="121" t="s">
        <v>1115</v>
      </c>
      <c r="B22" s="121" t="s">
        <v>1226</v>
      </c>
      <c r="C22" s="118">
        <v>0</v>
      </c>
      <c r="D22" s="119">
        <f>'3_Summary'!H9</f>
        <v>6.8500000000000005E-2</v>
      </c>
      <c r="F22" s="120"/>
      <c r="G22" s="112"/>
      <c r="H22" s="112"/>
      <c r="I22" s="113"/>
      <c r="J22" s="112"/>
      <c r="K22" s="112"/>
    </row>
    <row r="23" spans="1:12" ht="18" customHeight="1" thickBot="1" x14ac:dyDescent="0.25">
      <c r="A23" s="117" t="s">
        <v>1116</v>
      </c>
      <c r="B23" s="117" t="s">
        <v>1229</v>
      </c>
      <c r="C23" s="118">
        <v>0</v>
      </c>
      <c r="D23" s="119">
        <f>'3_Summary'!H10</f>
        <v>7.4999999999999997E-2</v>
      </c>
      <c r="F23" s="120"/>
      <c r="G23" s="112"/>
      <c r="H23" s="112"/>
      <c r="I23" s="113"/>
      <c r="J23" s="112"/>
      <c r="K23" s="112"/>
    </row>
    <row r="24" spans="1:12" ht="18" customHeight="1" thickBot="1" x14ac:dyDescent="0.25">
      <c r="A24" s="121" t="s">
        <v>1117</v>
      </c>
      <c r="B24" s="121" t="s">
        <v>1232</v>
      </c>
      <c r="C24" s="118">
        <v>0</v>
      </c>
      <c r="D24" s="119">
        <f>'3_Summary'!H11</f>
        <v>7.6700000000000004E-2</v>
      </c>
      <c r="F24" s="120"/>
      <c r="G24" s="112"/>
      <c r="H24" s="112"/>
      <c r="I24" s="113"/>
      <c r="J24" s="112"/>
      <c r="K24" s="112"/>
    </row>
    <row r="25" spans="1:12" ht="18" customHeight="1" thickBot="1" x14ac:dyDescent="0.25">
      <c r="A25" s="117" t="s">
        <v>1118</v>
      </c>
      <c r="B25" s="117" t="s">
        <v>1235</v>
      </c>
      <c r="C25" s="118">
        <v>0</v>
      </c>
      <c r="D25" s="119">
        <f>'3_Summary'!H12</f>
        <v>4.9599999999999998E-2</v>
      </c>
      <c r="F25" s="120"/>
      <c r="G25" s="112"/>
      <c r="H25" s="112"/>
      <c r="I25" s="113"/>
      <c r="J25" s="112"/>
      <c r="K25" s="112"/>
    </row>
    <row r="26" spans="1:12" ht="18" customHeight="1" thickBot="1" x14ac:dyDescent="0.25">
      <c r="A26" s="121" t="s">
        <v>1119</v>
      </c>
      <c r="B26" s="121" t="s">
        <v>1238</v>
      </c>
      <c r="C26" s="118">
        <v>0.41054106535405799</v>
      </c>
      <c r="D26" s="119">
        <f>'3_Summary'!H13</f>
        <v>0.15240000000000001</v>
      </c>
      <c r="F26" s="120"/>
      <c r="G26" s="112"/>
      <c r="H26" s="112"/>
      <c r="I26" s="113"/>
      <c r="J26" s="112"/>
      <c r="K26" s="112"/>
    </row>
    <row r="27" spans="1:12" ht="18" customHeight="1" thickBot="1" x14ac:dyDescent="0.25">
      <c r="A27" s="117" t="s">
        <v>1120</v>
      </c>
      <c r="B27" s="117" t="s">
        <v>1241</v>
      </c>
      <c r="C27" s="118">
        <v>0</v>
      </c>
      <c r="D27" s="119">
        <f>'3_Summary'!H14</f>
        <v>-8.6800000000000002E-2</v>
      </c>
      <c r="F27" s="120"/>
      <c r="G27" s="112"/>
      <c r="H27" s="112"/>
      <c r="I27" s="113"/>
      <c r="J27" s="112"/>
      <c r="K27" s="112"/>
    </row>
    <row r="28" spans="1:12" ht="18" customHeight="1" thickBot="1" x14ac:dyDescent="0.25">
      <c r="A28" s="121" t="s">
        <v>1121</v>
      </c>
      <c r="B28" s="121" t="s">
        <v>1244</v>
      </c>
      <c r="C28" s="118">
        <f>1-SUM(C19:C26)</f>
        <v>0</v>
      </c>
      <c r="D28" s="119">
        <f>'3_Summary'!H15</f>
        <v>2.98E-2</v>
      </c>
      <c r="F28" s="120"/>
      <c r="G28" s="112"/>
      <c r="H28" s="112"/>
      <c r="I28" s="113"/>
      <c r="J28" s="112"/>
      <c r="K28" s="112"/>
    </row>
    <row r="29" spans="1:12" ht="19.5" customHeight="1" thickBot="1" x14ac:dyDescent="0.25">
      <c r="A29" s="155" t="s">
        <v>1371</v>
      </c>
      <c r="B29" s="153"/>
      <c r="C29" s="122">
        <f>SUM(C19:C28)</f>
        <v>1</v>
      </c>
      <c r="D29" s="123"/>
    </row>
    <row r="31" spans="1:12" ht="21.75" customHeight="1" x14ac:dyDescent="0.2">
      <c r="A31" s="150" t="s">
        <v>1372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</row>
    <row r="32" spans="1:12" ht="49.5" customHeight="1" x14ac:dyDescent="0.2">
      <c r="A32" s="124" t="s">
        <v>1373</v>
      </c>
      <c r="B32" s="125" t="s">
        <v>1374</v>
      </c>
      <c r="C32" s="125" t="s">
        <v>1375</v>
      </c>
      <c r="D32" s="125" t="s">
        <v>1376</v>
      </c>
      <c r="E32" s="125" t="s">
        <v>1377</v>
      </c>
      <c r="F32" s="125" t="s">
        <v>1378</v>
      </c>
      <c r="G32" s="125" t="s">
        <v>1379</v>
      </c>
      <c r="H32" s="125" t="s">
        <v>1118</v>
      </c>
      <c r="I32" s="125" t="s">
        <v>1380</v>
      </c>
      <c r="J32" s="125" t="s">
        <v>1381</v>
      </c>
      <c r="K32" s="125" t="s">
        <v>1382</v>
      </c>
    </row>
    <row r="33" spans="1:11" ht="18" customHeight="1" x14ac:dyDescent="0.2">
      <c r="A33" s="126" t="s">
        <v>1112</v>
      </c>
      <c r="B33" s="127">
        <f>'6_Statistics'!B17</f>
        <v>2.3159999999999999E-3</v>
      </c>
      <c r="C33" s="127">
        <f>'6_Statistics'!C17</f>
        <v>7.1459999999999996E-3</v>
      </c>
      <c r="D33" s="127">
        <f>'6_Statistics'!D17</f>
        <v>2.1540000000000001E-3</v>
      </c>
      <c r="E33" s="127">
        <f>'6_Statistics'!E17</f>
        <v>4.6379999999999998E-3</v>
      </c>
      <c r="F33" s="127">
        <f>'6_Statistics'!F17</f>
        <v>2.3640000000000002E-3</v>
      </c>
      <c r="G33" s="127">
        <f>'6_Statistics'!G17</f>
        <v>2.1380000000000001E-3</v>
      </c>
      <c r="H33" s="127">
        <f>'6_Statistics'!H17</f>
        <v>5.2830000000000004E-3</v>
      </c>
      <c r="I33" s="127">
        <f>'6_Statistics'!I17</f>
        <v>4.2139999999999999E-3</v>
      </c>
      <c r="J33" s="127">
        <f>'6_Statistics'!J17</f>
        <v>5.2919999999999998E-3</v>
      </c>
      <c r="K33" s="127">
        <f>'6_Statistics'!K17</f>
        <v>1.9629999999999999E-3</v>
      </c>
    </row>
    <row r="34" spans="1:11" ht="18" customHeight="1" x14ac:dyDescent="0.2">
      <c r="A34" s="126" t="s">
        <v>1113</v>
      </c>
      <c r="B34" s="128">
        <f>'6_Statistics'!B18</f>
        <v>7.1459999999999996E-3</v>
      </c>
      <c r="C34" s="128">
        <f>'6_Statistics'!C18</f>
        <v>0.111097</v>
      </c>
      <c r="D34" s="128">
        <f>'6_Statistics'!D18</f>
        <v>8.2159999999999993E-3</v>
      </c>
      <c r="E34" s="128">
        <f>'6_Statistics'!E18</f>
        <v>3.2099999999999997E-2</v>
      </c>
      <c r="F34" s="128">
        <f>'6_Statistics'!F18</f>
        <v>1.2258E-2</v>
      </c>
      <c r="G34" s="128">
        <f>'6_Statistics'!G18</f>
        <v>2.0331999999999999E-2</v>
      </c>
      <c r="H34" s="128">
        <f>'6_Statistics'!H18</f>
        <v>3.7053000000000003E-2</v>
      </c>
      <c r="I34" s="128">
        <f>'6_Statistics'!I18</f>
        <v>3.0616999999999998E-2</v>
      </c>
      <c r="J34" s="128">
        <f>'6_Statistics'!J18</f>
        <v>3.0099999999999998E-2</v>
      </c>
      <c r="K34" s="128">
        <f>'6_Statistics'!K18</f>
        <v>8.0319999999999992E-3</v>
      </c>
    </row>
    <row r="35" spans="1:11" ht="18" customHeight="1" x14ac:dyDescent="0.2">
      <c r="A35" s="126" t="s">
        <v>1114</v>
      </c>
      <c r="B35" s="127">
        <f>'6_Statistics'!B19</f>
        <v>2.1540000000000001E-3</v>
      </c>
      <c r="C35" s="127">
        <f>'6_Statistics'!C19</f>
        <v>8.2159999999999993E-3</v>
      </c>
      <c r="D35" s="127">
        <f>'6_Statistics'!D19</f>
        <v>5.9569999999999996E-3</v>
      </c>
      <c r="E35" s="127">
        <f>'6_Statistics'!E19</f>
        <v>9.0039999999999999E-3</v>
      </c>
      <c r="F35" s="127">
        <f>'6_Statistics'!F19</f>
        <v>3.4199999999999999E-3</v>
      </c>
      <c r="G35" s="127">
        <f>'6_Statistics'!G19</f>
        <v>2.761E-3</v>
      </c>
      <c r="H35" s="127">
        <f>'6_Statistics'!H19</f>
        <v>9.5569999999999995E-3</v>
      </c>
      <c r="I35" s="127">
        <f>'6_Statistics'!I19</f>
        <v>5.6259999999999999E-3</v>
      </c>
      <c r="J35" s="127">
        <f>'6_Statistics'!J19</f>
        <v>8.4110000000000001E-3</v>
      </c>
      <c r="K35" s="127">
        <f>'6_Statistics'!K19</f>
        <v>2.9350000000000001E-3</v>
      </c>
    </row>
    <row r="36" spans="1:11" ht="18" customHeight="1" x14ac:dyDescent="0.2">
      <c r="A36" s="126" t="s">
        <v>1115</v>
      </c>
      <c r="B36" s="128">
        <f>'6_Statistics'!B20</f>
        <v>4.6379999999999998E-3</v>
      </c>
      <c r="C36" s="128">
        <f>'6_Statistics'!C20</f>
        <v>3.2099999999999997E-2</v>
      </c>
      <c r="D36" s="128">
        <f>'6_Statistics'!D20</f>
        <v>9.0039999999999999E-3</v>
      </c>
      <c r="E36" s="128">
        <f>'6_Statistics'!E20</f>
        <v>3.4146999999999997E-2</v>
      </c>
      <c r="F36" s="128">
        <f>'6_Statistics'!F20</f>
        <v>1.0808999999999999E-2</v>
      </c>
      <c r="G36" s="128">
        <f>'6_Statistics'!G20</f>
        <v>1.2008E-2</v>
      </c>
      <c r="H36" s="128">
        <f>'6_Statistics'!H20</f>
        <v>3.2895000000000001E-2</v>
      </c>
      <c r="I36" s="128">
        <f>'6_Statistics'!I20</f>
        <v>2.1194999999999999E-2</v>
      </c>
      <c r="J36" s="128">
        <f>'6_Statistics'!J20</f>
        <v>2.3703999999999999E-2</v>
      </c>
      <c r="K36" s="128">
        <f>'6_Statistics'!K20</f>
        <v>6.7089999999999997E-3</v>
      </c>
    </row>
    <row r="37" spans="1:11" ht="18" customHeight="1" x14ac:dyDescent="0.2">
      <c r="A37" s="126" t="s">
        <v>1116</v>
      </c>
      <c r="B37" s="127">
        <f>'6_Statistics'!B21</f>
        <v>2.3640000000000002E-3</v>
      </c>
      <c r="C37" s="127">
        <f>'6_Statistics'!C21</f>
        <v>1.2258E-2</v>
      </c>
      <c r="D37" s="127">
        <f>'6_Statistics'!D21</f>
        <v>3.4199999999999999E-3</v>
      </c>
      <c r="E37" s="127">
        <f>'6_Statistics'!E21</f>
        <v>1.0808999999999999E-2</v>
      </c>
      <c r="F37" s="127">
        <f>'6_Statistics'!F21</f>
        <v>1.7191000000000001E-2</v>
      </c>
      <c r="G37" s="127">
        <f>'6_Statistics'!G21</f>
        <v>1.4643E-2</v>
      </c>
      <c r="H37" s="127">
        <f>'6_Statistics'!H21</f>
        <v>1.6192000000000002E-2</v>
      </c>
      <c r="I37" s="127">
        <f>'6_Statistics'!I21</f>
        <v>1.1106E-2</v>
      </c>
      <c r="J37" s="127">
        <f>'6_Statistics'!J21</f>
        <v>9.443E-3</v>
      </c>
      <c r="K37" s="127">
        <f>'6_Statistics'!K21</f>
        <v>4.9540000000000001E-3</v>
      </c>
    </row>
    <row r="38" spans="1:11" ht="18" customHeight="1" x14ac:dyDescent="0.2">
      <c r="A38" s="126" t="s">
        <v>1117</v>
      </c>
      <c r="B38" s="128">
        <f>'6_Statistics'!B22</f>
        <v>2.1380000000000001E-3</v>
      </c>
      <c r="C38" s="128">
        <f>'6_Statistics'!C22</f>
        <v>2.0331999999999999E-2</v>
      </c>
      <c r="D38" s="128">
        <f>'6_Statistics'!D22</f>
        <v>2.761E-3</v>
      </c>
      <c r="E38" s="128">
        <f>'6_Statistics'!E22</f>
        <v>1.2008E-2</v>
      </c>
      <c r="F38" s="128">
        <f>'6_Statistics'!F22</f>
        <v>1.4643E-2</v>
      </c>
      <c r="G38" s="128">
        <f>'6_Statistics'!G22</f>
        <v>1.9262000000000001E-2</v>
      </c>
      <c r="H38" s="128">
        <f>'6_Statistics'!H22</f>
        <v>1.5764E-2</v>
      </c>
      <c r="I38" s="128">
        <f>'6_Statistics'!I22</f>
        <v>1.3750999999999999E-2</v>
      </c>
      <c r="J38" s="128">
        <f>'6_Statistics'!J22</f>
        <v>1.1577E-2</v>
      </c>
      <c r="K38" s="128">
        <f>'6_Statistics'!K22</f>
        <v>5.0889999999999998E-3</v>
      </c>
    </row>
    <row r="39" spans="1:11" ht="18" customHeight="1" x14ac:dyDescent="0.2">
      <c r="A39" s="126" t="s">
        <v>1118</v>
      </c>
      <c r="B39" s="127">
        <f>'6_Statistics'!B23</f>
        <v>5.2830000000000004E-3</v>
      </c>
      <c r="C39" s="127">
        <f>'6_Statistics'!C23</f>
        <v>3.7053000000000003E-2</v>
      </c>
      <c r="D39" s="127">
        <f>'6_Statistics'!D23</f>
        <v>9.5569999999999995E-3</v>
      </c>
      <c r="E39" s="127">
        <f>'6_Statistics'!E23</f>
        <v>3.2895000000000001E-2</v>
      </c>
      <c r="F39" s="127">
        <f>'6_Statistics'!F23</f>
        <v>1.6192000000000002E-2</v>
      </c>
      <c r="G39" s="127">
        <f>'6_Statistics'!G23</f>
        <v>1.5764E-2</v>
      </c>
      <c r="H39" s="127">
        <f>'6_Statistics'!H23</f>
        <v>3.8771E-2</v>
      </c>
      <c r="I39" s="127">
        <f>'6_Statistics'!I23</f>
        <v>2.2512000000000001E-2</v>
      </c>
      <c r="J39" s="127">
        <f>'6_Statistics'!J23</f>
        <v>2.3903000000000001E-2</v>
      </c>
      <c r="K39" s="127">
        <f>'6_Statistics'!K23</f>
        <v>8.1849999999999996E-3</v>
      </c>
    </row>
    <row r="40" spans="1:11" ht="18" customHeight="1" x14ac:dyDescent="0.2">
      <c r="A40" s="126" t="s">
        <v>1119</v>
      </c>
      <c r="B40" s="128">
        <f>'6_Statistics'!B24</f>
        <v>4.2139999999999999E-3</v>
      </c>
      <c r="C40" s="128">
        <f>'6_Statistics'!C24</f>
        <v>3.0616999999999998E-2</v>
      </c>
      <c r="D40" s="128">
        <f>'6_Statistics'!D24</f>
        <v>5.6259999999999999E-3</v>
      </c>
      <c r="E40" s="128">
        <f>'6_Statistics'!E24</f>
        <v>2.1194999999999999E-2</v>
      </c>
      <c r="F40" s="128">
        <f>'6_Statistics'!F24</f>
        <v>1.1106E-2</v>
      </c>
      <c r="G40" s="128">
        <f>'6_Statistics'!G24</f>
        <v>1.3750999999999999E-2</v>
      </c>
      <c r="H40" s="128">
        <f>'6_Statistics'!H24</f>
        <v>2.2512000000000001E-2</v>
      </c>
      <c r="I40" s="128">
        <f>'6_Statistics'!I24</f>
        <v>2.6535E-2</v>
      </c>
      <c r="J40" s="128">
        <f>'6_Statistics'!J24</f>
        <v>1.9820000000000001E-2</v>
      </c>
      <c r="K40" s="128">
        <f>'6_Statistics'!K24</f>
        <v>6.5199999999999998E-3</v>
      </c>
    </row>
    <row r="41" spans="1:11" ht="18" customHeight="1" x14ac:dyDescent="0.2">
      <c r="A41" s="126" t="s">
        <v>1120</v>
      </c>
      <c r="B41" s="127">
        <f>'6_Statistics'!B25</f>
        <v>5.2919999999999998E-3</v>
      </c>
      <c r="C41" s="127">
        <f>'6_Statistics'!C25</f>
        <v>3.0099999999999998E-2</v>
      </c>
      <c r="D41" s="127">
        <f>'6_Statistics'!D25</f>
        <v>8.4110000000000001E-3</v>
      </c>
      <c r="E41" s="127">
        <f>'6_Statistics'!E25</f>
        <v>2.3703999999999999E-2</v>
      </c>
      <c r="F41" s="127">
        <f>'6_Statistics'!F25</f>
        <v>9.443E-3</v>
      </c>
      <c r="G41" s="127">
        <f>'6_Statistics'!G25</f>
        <v>1.1577E-2</v>
      </c>
      <c r="H41" s="127">
        <f>'6_Statistics'!H25</f>
        <v>2.3903000000000001E-2</v>
      </c>
      <c r="I41" s="127">
        <f>'6_Statistics'!I25</f>
        <v>1.9820000000000001E-2</v>
      </c>
      <c r="J41" s="127">
        <f>'6_Statistics'!J25</f>
        <v>2.9069000000000001E-2</v>
      </c>
      <c r="K41" s="127">
        <f>'6_Statistics'!K25</f>
        <v>7.1040000000000001E-3</v>
      </c>
    </row>
    <row r="42" spans="1:11" ht="18" customHeight="1" x14ac:dyDescent="0.2">
      <c r="A42" s="126" t="s">
        <v>1121</v>
      </c>
      <c r="B42" s="128">
        <f>'6_Statistics'!B26</f>
        <v>1.9629999999999999E-3</v>
      </c>
      <c r="C42" s="128">
        <f>'6_Statistics'!C26</f>
        <v>8.0319999999999992E-3</v>
      </c>
      <c r="D42" s="128">
        <f>'6_Statistics'!D26</f>
        <v>2.9350000000000001E-3</v>
      </c>
      <c r="E42" s="128">
        <f>'6_Statistics'!E26</f>
        <v>6.7089999999999997E-3</v>
      </c>
      <c r="F42" s="128">
        <f>'6_Statistics'!F26</f>
        <v>4.9540000000000001E-3</v>
      </c>
      <c r="G42" s="128">
        <f>'6_Statistics'!G26</f>
        <v>5.0889999999999998E-3</v>
      </c>
      <c r="H42" s="128">
        <f>'6_Statistics'!H26</f>
        <v>8.1849999999999996E-3</v>
      </c>
      <c r="I42" s="128">
        <f>'6_Statistics'!I26</f>
        <v>6.5199999999999998E-3</v>
      </c>
      <c r="J42" s="128">
        <f>'6_Statistics'!J26</f>
        <v>7.1040000000000001E-3</v>
      </c>
      <c r="K42" s="128">
        <f>'6_Statistics'!K26</f>
        <v>3.2880000000000001E-3</v>
      </c>
    </row>
  </sheetData>
  <mergeCells count="22"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  <mergeCell ref="C7:D7"/>
    <mergeCell ref="A9:D9"/>
    <mergeCell ref="A11:D11"/>
    <mergeCell ref="F11:L11"/>
    <mergeCell ref="C12:D12"/>
    <mergeCell ref="F12:G12"/>
    <mergeCell ref="C6:D6"/>
    <mergeCell ref="A1:L1"/>
    <mergeCell ref="A2:L2"/>
    <mergeCell ref="A4:D4"/>
    <mergeCell ref="F4:L4"/>
    <mergeCell ref="C5:D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>
    <tabColor rgb="FF92D050"/>
  </sheetPr>
  <dimension ref="A1:H16"/>
  <sheetViews>
    <sheetView showGridLines="0" zoomScaleNormal="100" workbookViewId="0">
      <selection activeCell="D29" sqref="D29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8" t="s">
        <v>1209</v>
      </c>
      <c r="B1" s="147"/>
      <c r="C1" s="147"/>
      <c r="D1" s="147"/>
      <c r="E1" s="147"/>
      <c r="F1" s="147"/>
      <c r="G1" s="147"/>
      <c r="H1" s="147"/>
    </row>
    <row r="2" spans="1:8" ht="15" customHeight="1" x14ac:dyDescent="0.2">
      <c r="A2" s="157" t="s">
        <v>1210</v>
      </c>
      <c r="B2" s="147"/>
      <c r="C2" s="147"/>
      <c r="D2" s="147"/>
      <c r="E2" s="147"/>
      <c r="F2" s="147"/>
      <c r="G2" s="147"/>
      <c r="H2" s="147"/>
    </row>
    <row r="4" spans="1:8" ht="15" customHeight="1" x14ac:dyDescent="0.2">
      <c r="A4" s="158" t="s">
        <v>1211</v>
      </c>
      <c r="B4" s="147"/>
      <c r="C4" s="147"/>
      <c r="D4" s="147"/>
      <c r="F4" s="158" t="s">
        <v>1212</v>
      </c>
      <c r="G4" s="147"/>
      <c r="H4" s="147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showGridLines="0" zoomScaleNormal="100" workbookViewId="0">
      <pane ySplit="4" topLeftCell="A5" activePane="bottomLeft" state="frozen"/>
      <selection activeCell="P12" sqref="P12"/>
      <selection pane="bottomLeft" activeCell="P12" sqref="P12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9" t="s">
        <v>1247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</row>
    <row r="2" spans="1:11" ht="18" customHeight="1" x14ac:dyDescent="0.2">
      <c r="A2" s="160" t="s">
        <v>1248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showGridLines="0" zoomScaleNormal="100" workbookViewId="0">
      <pane ySplit="2" topLeftCell="A3" activePane="bottomLeft" state="frozen"/>
      <selection activeCell="P12" sqref="P12"/>
      <selection pane="bottomLeft" activeCell="P12" sqref="P12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9" t="s">
        <v>1322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showGridLines="0" zoomScaleNormal="100" workbookViewId="0">
      <pane xSplit="1" ySplit="2" topLeftCell="C3" activePane="bottomRight" state="frozen"/>
      <selection activeCell="P12" sqref="P12"/>
      <selection pane="topRight" activeCell="P12" sqref="P12"/>
      <selection pane="bottomLeft" activeCell="P12" sqref="P12"/>
      <selection pane="bottomRight" activeCell="D44" sqref="D44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9" t="s">
        <v>1323</v>
      </c>
      <c r="B1" s="147"/>
      <c r="C1" s="147"/>
      <c r="D1" s="147"/>
      <c r="E1" s="147"/>
      <c r="F1" s="147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8" t="s">
        <v>1329</v>
      </c>
      <c r="B15" s="147"/>
      <c r="C15" s="147"/>
      <c r="D15" s="147"/>
      <c r="E15" s="147"/>
      <c r="F15" s="147"/>
      <c r="G15" s="147"/>
      <c r="H15" s="147"/>
      <c r="I15" s="147"/>
      <c r="J15" s="147"/>
      <c r="K15" s="147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8" t="s">
        <v>1330</v>
      </c>
      <c r="B29" s="147"/>
      <c r="C29" s="147"/>
      <c r="D29" s="147"/>
      <c r="E29" s="147"/>
      <c r="F29" s="147"/>
      <c r="G29" s="147"/>
      <c r="H29" s="147"/>
      <c r="I29" s="147"/>
      <c r="J29" s="147"/>
      <c r="K29" s="147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showGridLines="0" zoomScaleNormal="100" workbookViewId="0">
      <selection activeCell="P12" sqref="P12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9" t="s">
        <v>1331</v>
      </c>
      <c r="B1" s="147"/>
      <c r="C1" s="147"/>
      <c r="D1" s="147"/>
      <c r="E1" s="147"/>
    </row>
    <row r="2" spans="1:8" ht="19.5" customHeight="1" x14ac:dyDescent="0.2">
      <c r="A2" s="161" t="s">
        <v>1332</v>
      </c>
      <c r="B2" s="147"/>
      <c r="C2" s="147"/>
      <c r="D2" s="147"/>
      <c r="E2" s="147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showGridLines="0" zoomScaleNormal="100" workbookViewId="0">
      <selection activeCell="P12" sqref="P12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9" t="s">
        <v>1340</v>
      </c>
      <c r="B1" s="147"/>
      <c r="C1" s="147"/>
      <c r="D1" s="147"/>
      <c r="E1" s="147"/>
      <c r="F1" s="147"/>
    </row>
    <row r="2" spans="1:9" x14ac:dyDescent="0.2">
      <c r="A2" s="161" t="s">
        <v>1341</v>
      </c>
      <c r="B2" s="147"/>
      <c r="C2" s="147"/>
      <c r="D2" s="147"/>
      <c r="E2" s="147"/>
      <c r="F2" s="147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02"/>
  <sheetViews>
    <sheetView showGridLines="0" topLeftCell="K1" zoomScaleNormal="100" workbookViewId="0">
      <selection activeCell="H34" sqref="H34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04" t="s">
        <v>1343</v>
      </c>
    </row>
    <row r="2" spans="1:11" x14ac:dyDescent="0.2">
      <c r="A2" s="105" t="s">
        <v>1344</v>
      </c>
      <c r="B2" s="105" t="s">
        <v>1345</v>
      </c>
      <c r="D2" s="105" t="s">
        <v>1346</v>
      </c>
      <c r="E2" s="105" t="s">
        <v>1347</v>
      </c>
      <c r="G2" s="105" t="s">
        <v>1348</v>
      </c>
      <c r="H2" s="105" t="s">
        <v>1349</v>
      </c>
      <c r="J2" s="105" t="s">
        <v>1350</v>
      </c>
      <c r="K2" s="105" t="s">
        <v>1351</v>
      </c>
    </row>
    <row r="3" spans="1:11" x14ac:dyDescent="0.2">
      <c r="A3" s="51">
        <v>3.6054999999999997E-2</v>
      </c>
      <c r="B3" s="51">
        <v>3.2759999999999997E-2</v>
      </c>
      <c r="D3" s="51">
        <v>4.7344999999999998E-2</v>
      </c>
      <c r="E3" s="51">
        <v>2.4698000000000001E-2</v>
      </c>
      <c r="G3" s="51">
        <v>4.8122999999999999E-2</v>
      </c>
      <c r="H3" s="51">
        <v>2.3338000000000001E-2</v>
      </c>
      <c r="J3" s="51">
        <v>3.6054999999999997E-2</v>
      </c>
      <c r="K3" s="51">
        <v>3.2759999999999997E-2</v>
      </c>
    </row>
    <row r="4" spans="1:11" x14ac:dyDescent="0.2">
      <c r="A4" s="51">
        <v>3.6072E-2</v>
      </c>
      <c r="B4" s="51">
        <v>3.5645999999999997E-2</v>
      </c>
      <c r="D4" s="51">
        <v>4.8495000000000003E-2</v>
      </c>
      <c r="E4" s="51">
        <v>2.7744999999999999E-2</v>
      </c>
      <c r="G4" s="51">
        <v>0.333312</v>
      </c>
      <c r="H4" s="51">
        <v>0.26544400000000001</v>
      </c>
      <c r="J4" s="51">
        <v>4.7344999999999998E-2</v>
      </c>
      <c r="K4" s="51">
        <v>2.4698000000000001E-2</v>
      </c>
    </row>
    <row r="5" spans="1:11" x14ac:dyDescent="0.2">
      <c r="A5" s="51">
        <v>3.6122000000000001E-2</v>
      </c>
      <c r="B5" s="51">
        <v>3.8532999999999998E-2</v>
      </c>
      <c r="D5" s="51">
        <v>5.0020000000000002E-2</v>
      </c>
      <c r="E5" s="51">
        <v>3.0793000000000001E-2</v>
      </c>
      <c r="G5" s="51">
        <v>7.7185000000000004E-2</v>
      </c>
      <c r="H5" s="51">
        <v>-6.3792000000000001E-2</v>
      </c>
      <c r="J5" s="51">
        <v>0.18888099999999999</v>
      </c>
      <c r="K5" s="51">
        <v>0.185923</v>
      </c>
    </row>
    <row r="6" spans="1:11" x14ac:dyDescent="0.2">
      <c r="A6" s="51">
        <v>3.6207000000000003E-2</v>
      </c>
      <c r="B6" s="51">
        <v>4.1418999999999997E-2</v>
      </c>
      <c r="D6" s="51">
        <v>5.1664000000000002E-2</v>
      </c>
      <c r="E6" s="51">
        <v>3.3840000000000002E-2</v>
      </c>
      <c r="G6" s="51">
        <v>0.18478800000000001</v>
      </c>
      <c r="H6" s="51">
        <v>6.8536E-2</v>
      </c>
    </row>
    <row r="7" spans="1:11" x14ac:dyDescent="0.2">
      <c r="A7" s="51">
        <v>3.6324000000000002E-2</v>
      </c>
      <c r="B7" s="51">
        <v>4.4305999999999998E-2</v>
      </c>
      <c r="D7" s="51">
        <v>5.3414000000000003E-2</v>
      </c>
      <c r="E7" s="51">
        <v>3.6887999999999997E-2</v>
      </c>
      <c r="G7" s="51">
        <v>0.13111400000000001</v>
      </c>
      <c r="H7" s="51">
        <v>7.5042999999999999E-2</v>
      </c>
    </row>
    <row r="8" spans="1:11" x14ac:dyDescent="0.2">
      <c r="A8" s="51">
        <v>3.6475E-2</v>
      </c>
      <c r="B8" s="51">
        <v>4.7192999999999999E-2</v>
      </c>
      <c r="D8" s="51">
        <v>5.5258000000000002E-2</v>
      </c>
      <c r="E8" s="51">
        <v>3.9934999999999998E-2</v>
      </c>
      <c r="G8" s="51">
        <v>0.13878799999999999</v>
      </c>
      <c r="H8" s="51">
        <v>7.6662999999999995E-2</v>
      </c>
    </row>
    <row r="9" spans="1:11" x14ac:dyDescent="0.2">
      <c r="A9" s="51">
        <v>3.6658000000000003E-2</v>
      </c>
      <c r="B9" s="51">
        <v>5.0078999999999999E-2</v>
      </c>
      <c r="D9" s="51">
        <v>5.7188999999999997E-2</v>
      </c>
      <c r="E9" s="51">
        <v>4.2981999999999999E-2</v>
      </c>
      <c r="G9" s="51">
        <v>0.196904</v>
      </c>
      <c r="H9" s="51">
        <v>4.9612000000000003E-2</v>
      </c>
    </row>
    <row r="10" spans="1:11" x14ac:dyDescent="0.2">
      <c r="A10" s="51">
        <v>3.6873000000000003E-2</v>
      </c>
      <c r="B10" s="51">
        <v>5.2965999999999999E-2</v>
      </c>
      <c r="D10" s="51">
        <v>5.9200999999999997E-2</v>
      </c>
      <c r="E10" s="51">
        <v>4.6030000000000001E-2</v>
      </c>
      <c r="G10" s="51">
        <v>0.16289400000000001</v>
      </c>
      <c r="H10" s="51">
        <v>0.152396</v>
      </c>
    </row>
    <row r="11" spans="1:11" x14ac:dyDescent="0.2">
      <c r="A11" s="51">
        <v>3.712E-2</v>
      </c>
      <c r="B11" s="51">
        <v>5.5851999999999999E-2</v>
      </c>
      <c r="D11" s="51">
        <v>6.1289000000000003E-2</v>
      </c>
      <c r="E11" s="51">
        <v>4.9077000000000003E-2</v>
      </c>
      <c r="G11" s="51">
        <v>0.17049600000000001</v>
      </c>
      <c r="H11" s="51">
        <v>-8.6768999999999999E-2</v>
      </c>
    </row>
    <row r="12" spans="1:11" x14ac:dyDescent="0.2">
      <c r="A12" s="51">
        <v>3.7397E-2</v>
      </c>
      <c r="B12" s="51">
        <v>5.8739E-2</v>
      </c>
      <c r="D12" s="51">
        <v>6.3444E-2</v>
      </c>
      <c r="E12" s="51">
        <v>5.2124999999999998E-2</v>
      </c>
      <c r="G12" s="51">
        <v>5.7336999999999999E-2</v>
      </c>
      <c r="H12" s="51">
        <v>2.9808999999999999E-2</v>
      </c>
    </row>
    <row r="13" spans="1:11" x14ac:dyDescent="0.2">
      <c r="A13" s="51">
        <v>3.7705000000000002E-2</v>
      </c>
      <c r="B13" s="51">
        <v>6.1626E-2</v>
      </c>
      <c r="D13" s="51">
        <v>6.5664E-2</v>
      </c>
      <c r="E13" s="51">
        <v>5.5171999999999999E-2</v>
      </c>
    </row>
    <row r="14" spans="1:11" x14ac:dyDescent="0.2">
      <c r="A14" s="51">
        <v>3.8043E-2</v>
      </c>
      <c r="B14" s="51">
        <v>6.4512E-2</v>
      </c>
      <c r="D14" s="51">
        <v>6.7951999999999999E-2</v>
      </c>
      <c r="E14" s="51">
        <v>5.8219E-2</v>
      </c>
    </row>
    <row r="15" spans="1:11" x14ac:dyDescent="0.2">
      <c r="A15" s="51">
        <v>3.8408999999999999E-2</v>
      </c>
      <c r="B15" s="51">
        <v>6.7399000000000001E-2</v>
      </c>
      <c r="D15" s="51">
        <v>7.0302000000000003E-2</v>
      </c>
      <c r="E15" s="51">
        <v>6.1267000000000002E-2</v>
      </c>
    </row>
    <row r="16" spans="1:11" x14ac:dyDescent="0.2">
      <c r="A16" s="51">
        <v>3.8802999999999997E-2</v>
      </c>
      <c r="B16" s="51">
        <v>7.0285E-2</v>
      </c>
      <c r="D16" s="51">
        <v>7.2706999999999994E-2</v>
      </c>
      <c r="E16" s="51">
        <v>6.4313999999999996E-2</v>
      </c>
    </row>
    <row r="17" spans="1:5" x14ac:dyDescent="0.2">
      <c r="A17" s="51">
        <v>3.9225000000000003E-2</v>
      </c>
      <c r="B17" s="51">
        <v>7.3172000000000001E-2</v>
      </c>
      <c r="D17" s="51">
        <v>7.5162000000000007E-2</v>
      </c>
      <c r="E17" s="51">
        <v>6.7362000000000005E-2</v>
      </c>
    </row>
    <row r="18" spans="1:5" x14ac:dyDescent="0.2">
      <c r="A18" s="51">
        <v>3.9671999999999999E-2</v>
      </c>
      <c r="B18" s="51">
        <v>7.6058000000000001E-2</v>
      </c>
      <c r="D18" s="51">
        <v>7.7662999999999996E-2</v>
      </c>
      <c r="E18" s="51">
        <v>7.0408999999999999E-2</v>
      </c>
    </row>
    <row r="19" spans="1:5" x14ac:dyDescent="0.2">
      <c r="A19" s="51">
        <v>4.0145E-2</v>
      </c>
      <c r="B19" s="51">
        <v>7.8945000000000001E-2</v>
      </c>
      <c r="C19" s="51">
        <v>0</v>
      </c>
      <c r="D19" s="51">
        <v>8.0204999999999999E-2</v>
      </c>
      <c r="E19" s="51">
        <v>7.3456999999999995E-2</v>
      </c>
    </row>
    <row r="20" spans="1:5" x14ac:dyDescent="0.2">
      <c r="A20" s="51">
        <v>4.0641999999999998E-2</v>
      </c>
      <c r="B20" s="51">
        <v>8.1832000000000002E-2</v>
      </c>
      <c r="C20" s="51">
        <v>0</v>
      </c>
      <c r="D20" s="51">
        <v>8.2783999999999996E-2</v>
      </c>
      <c r="E20" s="51">
        <v>7.6504000000000003E-2</v>
      </c>
    </row>
    <row r="21" spans="1:5" x14ac:dyDescent="0.2">
      <c r="A21" s="51">
        <v>4.1162999999999998E-2</v>
      </c>
      <c r="B21" s="51">
        <v>8.4718000000000002E-2</v>
      </c>
      <c r="C21" s="51">
        <v>0</v>
      </c>
      <c r="D21" s="51">
        <v>8.5396E-2</v>
      </c>
      <c r="E21" s="51">
        <v>7.9550999999999997E-2</v>
      </c>
    </row>
    <row r="22" spans="1:5" x14ac:dyDescent="0.2">
      <c r="A22" s="51">
        <v>4.1707000000000001E-2</v>
      </c>
      <c r="B22" s="51">
        <v>8.7605000000000002E-2</v>
      </c>
      <c r="C22" s="51">
        <v>0</v>
      </c>
      <c r="D22" s="51">
        <v>8.8039999999999993E-2</v>
      </c>
      <c r="E22" s="51">
        <v>8.2599000000000006E-2</v>
      </c>
    </row>
    <row r="23" spans="1:5" x14ac:dyDescent="0.2">
      <c r="A23" s="51">
        <v>4.2271999999999997E-2</v>
      </c>
      <c r="B23" s="51">
        <v>9.0491000000000002E-2</v>
      </c>
      <c r="C23" s="51">
        <v>0</v>
      </c>
      <c r="D23" s="51">
        <v>9.0712000000000001E-2</v>
      </c>
      <c r="E23" s="51">
        <v>8.5646E-2</v>
      </c>
    </row>
    <row r="24" spans="1:5" x14ac:dyDescent="0.2">
      <c r="A24" s="51">
        <v>4.2858E-2</v>
      </c>
      <c r="B24" s="51">
        <v>9.3378000000000003E-2</v>
      </c>
      <c r="C24" s="51">
        <v>0</v>
      </c>
      <c r="D24" s="51">
        <v>9.3410000000000007E-2</v>
      </c>
      <c r="E24" s="51">
        <v>8.8693999999999995E-2</v>
      </c>
    </row>
    <row r="25" spans="1:5" x14ac:dyDescent="0.2">
      <c r="A25" s="51">
        <v>4.3464999999999997E-2</v>
      </c>
      <c r="B25" s="51">
        <v>9.6265000000000003E-2</v>
      </c>
      <c r="C25" s="51">
        <v>0</v>
      </c>
      <c r="D25" s="51">
        <v>9.6130999999999994E-2</v>
      </c>
      <c r="E25" s="51">
        <v>9.1741000000000003E-2</v>
      </c>
    </row>
    <row r="26" spans="1:5" x14ac:dyDescent="0.2">
      <c r="A26" s="51">
        <v>4.4089999999999997E-2</v>
      </c>
      <c r="B26" s="51">
        <v>9.9151000000000003E-2</v>
      </c>
      <c r="C26" s="51">
        <v>0</v>
      </c>
      <c r="D26" s="51">
        <v>9.8874000000000004E-2</v>
      </c>
      <c r="E26" s="51">
        <v>9.4787999999999997E-2</v>
      </c>
    </row>
    <row r="27" spans="1:5" x14ac:dyDescent="0.2">
      <c r="A27" s="51">
        <v>4.4734999999999997E-2</v>
      </c>
      <c r="B27" s="51">
        <v>0.102038</v>
      </c>
      <c r="C27" s="51">
        <v>0</v>
      </c>
      <c r="D27" s="51">
        <v>0.10163700000000001</v>
      </c>
      <c r="E27" s="51">
        <v>9.7836000000000006E-2</v>
      </c>
    </row>
    <row r="28" spans="1:5" x14ac:dyDescent="0.2">
      <c r="A28" s="51">
        <v>4.5395999999999999E-2</v>
      </c>
      <c r="B28" s="51">
        <v>0.104924</v>
      </c>
      <c r="C28" s="51">
        <v>0</v>
      </c>
      <c r="D28" s="51">
        <v>0.104418</v>
      </c>
      <c r="E28" s="51">
        <v>0.100883</v>
      </c>
    </row>
    <row r="29" spans="1:5" x14ac:dyDescent="0.2">
      <c r="A29" s="51">
        <v>4.6074999999999998E-2</v>
      </c>
      <c r="B29" s="51">
        <v>0.107811</v>
      </c>
      <c r="D29" s="51">
        <v>0.10721700000000001</v>
      </c>
      <c r="E29" s="51">
        <v>0.103931</v>
      </c>
    </row>
    <row r="30" spans="1:5" x14ac:dyDescent="0.2">
      <c r="A30" s="51">
        <v>4.6769999999999999E-2</v>
      </c>
      <c r="B30" s="51">
        <v>0.110698</v>
      </c>
      <c r="D30" s="51">
        <v>0.11003</v>
      </c>
      <c r="E30" s="51">
        <v>0.106978</v>
      </c>
    </row>
    <row r="31" spans="1:5" x14ac:dyDescent="0.2">
      <c r="A31" s="51">
        <v>4.7480000000000001E-2</v>
      </c>
      <c r="B31" s="51">
        <v>0.113584</v>
      </c>
      <c r="D31" s="51">
        <v>0.112858</v>
      </c>
      <c r="E31" s="51">
        <v>0.110026</v>
      </c>
    </row>
    <row r="32" spans="1:5" x14ac:dyDescent="0.2">
      <c r="A32" s="51">
        <v>4.8205999999999999E-2</v>
      </c>
      <c r="B32" s="51">
        <v>0.11647100000000001</v>
      </c>
      <c r="D32" s="51">
        <v>0.1157</v>
      </c>
      <c r="E32" s="51">
        <v>0.11307300000000001</v>
      </c>
    </row>
    <row r="33" spans="1:5" x14ac:dyDescent="0.2">
      <c r="A33" s="51">
        <v>4.8945000000000002E-2</v>
      </c>
      <c r="B33" s="51">
        <v>0.119357</v>
      </c>
      <c r="D33" s="51">
        <v>0.11855400000000001</v>
      </c>
      <c r="E33" s="51">
        <v>0.11612</v>
      </c>
    </row>
    <row r="34" spans="1:5" x14ac:dyDescent="0.2">
      <c r="A34" s="51">
        <v>4.9697999999999999E-2</v>
      </c>
      <c r="B34" s="51">
        <v>0.12224400000000001</v>
      </c>
      <c r="D34" s="51">
        <v>0.12142</v>
      </c>
      <c r="E34" s="51">
        <v>0.119168</v>
      </c>
    </row>
    <row r="35" spans="1:5" x14ac:dyDescent="0.2">
      <c r="A35" s="51">
        <v>5.0464000000000002E-2</v>
      </c>
      <c r="B35" s="51">
        <v>0.12513099999999999</v>
      </c>
      <c r="D35" s="51">
        <v>0.124296</v>
      </c>
      <c r="E35" s="51">
        <v>0.122215</v>
      </c>
    </row>
    <row r="36" spans="1:5" x14ac:dyDescent="0.2">
      <c r="A36" s="51">
        <v>5.1242000000000003E-2</v>
      </c>
      <c r="B36" s="51">
        <v>0.12801699999999999</v>
      </c>
      <c r="D36" s="51">
        <v>0.12718199999999999</v>
      </c>
      <c r="E36" s="51">
        <v>0.12526300000000001</v>
      </c>
    </row>
    <row r="37" spans="1:5" x14ac:dyDescent="0.2">
      <c r="A37" s="51">
        <v>5.2031000000000001E-2</v>
      </c>
      <c r="B37" s="51">
        <v>0.13090399999999999</v>
      </c>
      <c r="D37" s="51">
        <v>0.130078</v>
      </c>
      <c r="E37" s="51">
        <v>0.12831000000000001</v>
      </c>
    </row>
    <row r="38" spans="1:5" x14ac:dyDescent="0.2">
      <c r="A38" s="51">
        <v>5.2831999999999997E-2</v>
      </c>
      <c r="B38" s="51">
        <v>0.13378999999999999</v>
      </c>
      <c r="D38" s="51">
        <v>0.13298199999999999</v>
      </c>
      <c r="E38" s="51">
        <v>0.131358</v>
      </c>
    </row>
    <row r="39" spans="1:5" x14ac:dyDescent="0.2">
      <c r="A39" s="51">
        <v>5.3643999999999997E-2</v>
      </c>
      <c r="B39" s="51">
        <v>0.13667699999999999</v>
      </c>
      <c r="D39" s="51">
        <v>0.13589499999999999</v>
      </c>
      <c r="E39" s="51">
        <v>0.134405</v>
      </c>
    </row>
    <row r="40" spans="1:5" x14ac:dyDescent="0.2">
      <c r="A40" s="51">
        <v>5.4466000000000001E-2</v>
      </c>
      <c r="B40" s="51">
        <v>0.13956399999999999</v>
      </c>
      <c r="D40" s="51">
        <v>0.13881499999999999</v>
      </c>
      <c r="E40" s="51">
        <v>0.13745199999999999</v>
      </c>
    </row>
    <row r="41" spans="1:5" x14ac:dyDescent="0.2">
      <c r="A41" s="51">
        <v>5.5298E-2</v>
      </c>
      <c r="B41" s="51">
        <v>0.14244999999999999</v>
      </c>
      <c r="D41" s="51">
        <v>0.14174300000000001</v>
      </c>
      <c r="E41" s="51">
        <v>0.14050000000000001</v>
      </c>
    </row>
    <row r="42" spans="1:5" x14ac:dyDescent="0.2">
      <c r="A42" s="51">
        <v>5.6139000000000001E-2</v>
      </c>
      <c r="B42" s="51">
        <v>0.14533699999999999</v>
      </c>
      <c r="D42" s="51">
        <v>0.144677</v>
      </c>
      <c r="E42" s="51">
        <v>0.14354700000000001</v>
      </c>
    </row>
    <row r="43" spans="1:5" x14ac:dyDescent="0.2">
      <c r="A43" s="51">
        <v>5.6988999999999998E-2</v>
      </c>
      <c r="B43" s="51">
        <v>0.14822299999999999</v>
      </c>
      <c r="D43" s="51">
        <v>0.147618</v>
      </c>
      <c r="E43" s="51">
        <v>0.146595</v>
      </c>
    </row>
    <row r="44" spans="1:5" x14ac:dyDescent="0.2">
      <c r="A44" s="51">
        <v>5.7847999999999997E-2</v>
      </c>
      <c r="B44" s="51">
        <v>0.15110999999999999</v>
      </c>
      <c r="D44" s="51">
        <v>0.150564</v>
      </c>
      <c r="E44" s="51">
        <v>0.149642</v>
      </c>
    </row>
    <row r="45" spans="1:5" x14ac:dyDescent="0.2">
      <c r="A45" s="51">
        <v>5.8715000000000003E-2</v>
      </c>
      <c r="B45" s="51">
        <v>0.153997</v>
      </c>
      <c r="D45" s="51">
        <v>0.15351600000000001</v>
      </c>
      <c r="E45" s="51">
        <v>0.15268899999999999</v>
      </c>
    </row>
    <row r="46" spans="1:5" x14ac:dyDescent="0.2">
      <c r="A46" s="51">
        <v>5.9589999999999997E-2</v>
      </c>
      <c r="B46" s="51">
        <v>0.15688299999999999</v>
      </c>
      <c r="D46" s="51">
        <v>0.156474</v>
      </c>
      <c r="E46" s="51">
        <v>0.15573699999999999</v>
      </c>
    </row>
    <row r="47" spans="1:5" x14ac:dyDescent="0.2">
      <c r="A47" s="51">
        <v>6.0471999999999998E-2</v>
      </c>
      <c r="B47" s="51">
        <v>0.15977</v>
      </c>
      <c r="D47" s="51">
        <v>0.15943599999999999</v>
      </c>
      <c r="E47" s="51">
        <v>0.15878400000000001</v>
      </c>
    </row>
    <row r="48" spans="1:5" x14ac:dyDescent="0.2">
      <c r="A48" s="51">
        <v>6.1360999999999999E-2</v>
      </c>
      <c r="B48" s="51">
        <v>0.162656</v>
      </c>
      <c r="D48" s="51">
        <v>0.16244</v>
      </c>
      <c r="E48" s="51">
        <v>0.161832</v>
      </c>
    </row>
    <row r="49" spans="1:5" x14ac:dyDescent="0.2">
      <c r="A49" s="51">
        <v>6.2257E-2</v>
      </c>
      <c r="B49" s="51">
        <v>0.165543</v>
      </c>
      <c r="D49" s="51">
        <v>0.16552500000000001</v>
      </c>
      <c r="E49" s="51">
        <v>0.164879</v>
      </c>
    </row>
    <row r="50" spans="1:5" x14ac:dyDescent="0.2">
      <c r="A50" s="51">
        <v>6.3159999999999994E-2</v>
      </c>
      <c r="B50" s="51">
        <v>0.16843</v>
      </c>
      <c r="D50" s="51">
        <v>0.168685</v>
      </c>
      <c r="E50" s="51">
        <v>0.16792699999999999</v>
      </c>
    </row>
    <row r="51" spans="1:5" x14ac:dyDescent="0.2">
      <c r="A51" s="51">
        <v>6.4069000000000001E-2</v>
      </c>
      <c r="B51" s="51">
        <v>0.171316</v>
      </c>
      <c r="D51" s="51">
        <v>0.17191600000000001</v>
      </c>
      <c r="E51" s="51">
        <v>0.17097399999999999</v>
      </c>
    </row>
    <row r="52" spans="1:5" x14ac:dyDescent="0.2">
      <c r="A52" s="51">
        <v>6.4984E-2</v>
      </c>
      <c r="B52" s="51">
        <v>0.174203</v>
      </c>
      <c r="D52" s="51">
        <v>0.17521600000000001</v>
      </c>
      <c r="E52" s="51">
        <v>0.17402100000000001</v>
      </c>
    </row>
    <row r="53" spans="1:5" x14ac:dyDescent="0.2">
      <c r="A53" s="51">
        <v>6.5905000000000005E-2</v>
      </c>
      <c r="B53" s="51">
        <v>0.177089</v>
      </c>
      <c r="D53" s="51">
        <v>0.17857899999999999</v>
      </c>
      <c r="E53" s="51">
        <v>0.177069</v>
      </c>
    </row>
    <row r="54" spans="1:5" x14ac:dyDescent="0.2">
      <c r="A54" s="51">
        <v>6.6831000000000002E-2</v>
      </c>
      <c r="B54" s="51">
        <v>0.179976</v>
      </c>
      <c r="D54" s="51">
        <v>0.182003</v>
      </c>
      <c r="E54" s="51">
        <v>0.180116</v>
      </c>
    </row>
    <row r="55" spans="1:5" x14ac:dyDescent="0.2">
      <c r="A55" s="51">
        <v>6.7763000000000004E-2</v>
      </c>
      <c r="B55" s="51">
        <v>0.182863</v>
      </c>
      <c r="D55" s="51">
        <v>0.18551599999999999</v>
      </c>
      <c r="E55" s="51">
        <v>0.18316399999999999</v>
      </c>
    </row>
    <row r="56" spans="1:5" x14ac:dyDescent="0.2">
      <c r="A56" s="51">
        <v>6.8698999999999996E-2</v>
      </c>
      <c r="B56" s="51">
        <v>0.185749</v>
      </c>
      <c r="D56" s="51">
        <v>0.18924199999999999</v>
      </c>
      <c r="E56" s="51">
        <v>0.18621099999999999</v>
      </c>
    </row>
    <row r="57" spans="1:5" x14ac:dyDescent="0.2">
      <c r="A57" s="51">
        <v>6.9640999999999995E-2</v>
      </c>
      <c r="B57" s="51">
        <v>0.188636</v>
      </c>
      <c r="D57" s="51">
        <v>0.193185</v>
      </c>
      <c r="E57" s="51">
        <v>0.18925800000000001</v>
      </c>
    </row>
    <row r="58" spans="1:5" x14ac:dyDescent="0.2">
      <c r="A58" s="51">
        <v>7.0586999999999997E-2</v>
      </c>
      <c r="B58" s="51">
        <v>0.191522</v>
      </c>
      <c r="D58" s="51">
        <v>0.19733000000000001</v>
      </c>
      <c r="E58" s="51">
        <v>0.192306</v>
      </c>
    </row>
    <row r="59" spans="1:5" x14ac:dyDescent="0.2">
      <c r="A59" s="51">
        <v>7.1538000000000004E-2</v>
      </c>
      <c r="B59" s="51">
        <v>0.194409</v>
      </c>
      <c r="D59" s="51">
        <v>0.20166500000000001</v>
      </c>
      <c r="E59" s="51">
        <v>0.195353</v>
      </c>
    </row>
    <row r="60" spans="1:5" x14ac:dyDescent="0.2">
      <c r="A60" s="51">
        <v>7.2493000000000002E-2</v>
      </c>
      <c r="B60" s="51">
        <v>0.197296</v>
      </c>
      <c r="D60" s="51">
        <v>0.206178</v>
      </c>
      <c r="E60" s="51">
        <v>0.19840099999999999</v>
      </c>
    </row>
    <row r="61" spans="1:5" x14ac:dyDescent="0.2">
      <c r="A61" s="51">
        <v>7.3452000000000003E-2</v>
      </c>
      <c r="B61" s="51">
        <v>0.200182</v>
      </c>
      <c r="D61" s="51">
        <v>0.21085899999999999</v>
      </c>
      <c r="E61" s="51">
        <v>0.20144799999999999</v>
      </c>
    </row>
    <row r="62" spans="1:5" x14ac:dyDescent="0.2">
      <c r="A62" s="51">
        <v>7.4415999999999996E-2</v>
      </c>
      <c r="B62" s="51">
        <v>0.203069</v>
      </c>
      <c r="D62" s="51">
        <v>0.215695</v>
      </c>
      <c r="E62" s="51">
        <v>0.20449600000000001</v>
      </c>
    </row>
    <row r="63" spans="1:5" x14ac:dyDescent="0.2">
      <c r="A63" s="51">
        <v>7.5383000000000006E-2</v>
      </c>
      <c r="B63" s="51">
        <v>0.205955</v>
      </c>
      <c r="D63" s="51">
        <v>0.22067600000000001</v>
      </c>
      <c r="E63" s="51">
        <v>0.20754300000000001</v>
      </c>
    </row>
    <row r="64" spans="1:5" x14ac:dyDescent="0.2">
      <c r="A64" s="51">
        <v>7.6354000000000005E-2</v>
      </c>
      <c r="B64" s="51">
        <v>0.208842</v>
      </c>
      <c r="D64" s="51">
        <v>0.22579399999999999</v>
      </c>
      <c r="E64" s="51">
        <v>0.21059</v>
      </c>
    </row>
    <row r="65" spans="1:5" x14ac:dyDescent="0.2">
      <c r="A65" s="51">
        <v>7.7327999999999994E-2</v>
      </c>
      <c r="B65" s="51">
        <v>0.211729</v>
      </c>
      <c r="D65" s="51">
        <v>0.23103899999999999</v>
      </c>
      <c r="E65" s="51">
        <v>0.21363799999999999</v>
      </c>
    </row>
    <row r="66" spans="1:5" x14ac:dyDescent="0.2">
      <c r="A66" s="51">
        <v>7.8306000000000001E-2</v>
      </c>
      <c r="B66" s="51">
        <v>0.214615</v>
      </c>
      <c r="D66" s="51">
        <v>0.236402</v>
      </c>
      <c r="E66" s="51">
        <v>0.21668499999999999</v>
      </c>
    </row>
    <row r="67" spans="1:5" x14ac:dyDescent="0.2">
      <c r="A67" s="51">
        <v>7.9286999999999996E-2</v>
      </c>
      <c r="B67" s="51">
        <v>0.217502</v>
      </c>
      <c r="D67" s="51">
        <v>0.24187500000000001</v>
      </c>
      <c r="E67" s="51">
        <v>0.21973300000000001</v>
      </c>
    </row>
    <row r="68" spans="1:5" x14ac:dyDescent="0.2">
      <c r="A68" s="51">
        <v>8.0270999999999995E-2</v>
      </c>
      <c r="B68" s="51">
        <v>0.220388</v>
      </c>
      <c r="D68" s="51">
        <v>0.24745200000000001</v>
      </c>
      <c r="E68" s="51">
        <v>0.22278000000000001</v>
      </c>
    </row>
    <row r="69" spans="1:5" x14ac:dyDescent="0.2">
      <c r="A69" s="51">
        <v>8.1257999999999997E-2</v>
      </c>
      <c r="B69" s="51">
        <v>0.223275</v>
      </c>
      <c r="D69" s="51">
        <v>0.25312600000000002</v>
      </c>
      <c r="E69" s="51">
        <v>0.225828</v>
      </c>
    </row>
    <row r="70" spans="1:5" x14ac:dyDescent="0.2">
      <c r="A70" s="51">
        <v>8.2249000000000003E-2</v>
      </c>
      <c r="B70" s="51">
        <v>0.226162</v>
      </c>
      <c r="D70" s="51">
        <v>0.25889000000000001</v>
      </c>
      <c r="E70" s="51">
        <v>0.228875</v>
      </c>
    </row>
    <row r="71" spans="1:5" x14ac:dyDescent="0.2">
      <c r="A71" s="51">
        <v>8.3241999999999997E-2</v>
      </c>
      <c r="B71" s="51">
        <v>0.229048</v>
      </c>
      <c r="D71" s="51">
        <v>0.264737</v>
      </c>
      <c r="E71" s="51">
        <v>0.23192199999999999</v>
      </c>
    </row>
    <row r="72" spans="1:5" x14ac:dyDescent="0.2">
      <c r="A72" s="51">
        <v>8.4237999999999993E-2</v>
      </c>
      <c r="B72" s="51">
        <v>0.231935</v>
      </c>
      <c r="D72" s="51">
        <v>0.27066400000000002</v>
      </c>
      <c r="E72" s="51">
        <v>0.23497000000000001</v>
      </c>
    </row>
    <row r="73" spans="1:5" x14ac:dyDescent="0.2">
      <c r="A73" s="51">
        <v>8.5236000000000006E-2</v>
      </c>
      <c r="B73" s="51">
        <v>0.234821</v>
      </c>
      <c r="D73" s="51">
        <v>0.27666400000000002</v>
      </c>
      <c r="E73" s="51">
        <v>0.23801700000000001</v>
      </c>
    </row>
    <row r="74" spans="1:5" x14ac:dyDescent="0.2">
      <c r="A74" s="51">
        <v>8.6236999999999994E-2</v>
      </c>
      <c r="B74" s="51">
        <v>0.237708</v>
      </c>
      <c r="D74" s="51">
        <v>0.28273399999999999</v>
      </c>
      <c r="E74" s="51">
        <v>0.241065</v>
      </c>
    </row>
    <row r="75" spans="1:5" x14ac:dyDescent="0.2">
      <c r="A75" s="51">
        <v>8.7240999999999999E-2</v>
      </c>
      <c r="B75" s="51">
        <v>0.240595</v>
      </c>
      <c r="D75" s="51">
        <v>0.28886800000000001</v>
      </c>
      <c r="E75" s="51">
        <v>0.244112</v>
      </c>
    </row>
    <row r="76" spans="1:5" x14ac:dyDescent="0.2">
      <c r="A76" s="51">
        <v>8.8246000000000005E-2</v>
      </c>
      <c r="B76" s="51">
        <v>0.243481</v>
      </c>
      <c r="D76" s="51">
        <v>0.29506199999999999</v>
      </c>
      <c r="E76" s="51">
        <v>0.24715899999999999</v>
      </c>
    </row>
    <row r="77" spans="1:5" x14ac:dyDescent="0.2">
      <c r="A77" s="51">
        <v>8.9255000000000001E-2</v>
      </c>
      <c r="B77" s="51">
        <v>0.246368</v>
      </c>
      <c r="D77" s="51">
        <v>0.30131400000000003</v>
      </c>
      <c r="E77" s="51">
        <v>0.25020700000000001</v>
      </c>
    </row>
    <row r="78" spans="1:5" x14ac:dyDescent="0.2">
      <c r="A78" s="51">
        <v>9.0264999999999998E-2</v>
      </c>
      <c r="B78" s="51">
        <v>0.249254</v>
      </c>
      <c r="D78" s="51">
        <v>0.30761899999999998</v>
      </c>
      <c r="E78" s="51">
        <v>0.25325399999999998</v>
      </c>
    </row>
    <row r="79" spans="1:5" x14ac:dyDescent="0.2">
      <c r="A79" s="51">
        <v>9.1277999999999998E-2</v>
      </c>
      <c r="B79" s="51">
        <v>0.252141</v>
      </c>
      <c r="D79" s="51">
        <v>0.31397399999999998</v>
      </c>
      <c r="E79" s="51">
        <v>0.25630199999999997</v>
      </c>
    </row>
    <row r="80" spans="1:5" x14ac:dyDescent="0.2">
      <c r="A80" s="51">
        <v>9.2291999999999999E-2</v>
      </c>
      <c r="B80" s="51">
        <v>0.25502799999999998</v>
      </c>
      <c r="D80" s="51">
        <v>0.32037700000000002</v>
      </c>
      <c r="E80" s="51">
        <v>0.259349</v>
      </c>
    </row>
    <row r="81" spans="1:5" x14ac:dyDescent="0.2">
      <c r="A81" s="51">
        <v>9.3309000000000003E-2</v>
      </c>
      <c r="B81" s="51">
        <v>0.25791399999999998</v>
      </c>
      <c r="D81" s="51">
        <v>0.32682299999999997</v>
      </c>
      <c r="E81" s="51">
        <v>0.26239699999999999</v>
      </c>
    </row>
    <row r="82" spans="1:5" x14ac:dyDescent="0.2">
      <c r="A82" s="51">
        <v>9.4327999999999995E-2</v>
      </c>
      <c r="B82" s="51">
        <v>0.26080100000000001</v>
      </c>
      <c r="D82" s="51">
        <v>0.333312</v>
      </c>
      <c r="E82" s="51">
        <v>0.26544400000000001</v>
      </c>
    </row>
    <row r="83" spans="1:5" x14ac:dyDescent="0.2">
      <c r="A83" s="51">
        <v>9.5348000000000002E-2</v>
      </c>
      <c r="B83" s="51">
        <v>0.263687</v>
      </c>
    </row>
    <row r="84" spans="1:5" x14ac:dyDescent="0.2">
      <c r="A84" s="51">
        <v>9.6369999999999997E-2</v>
      </c>
      <c r="B84" s="51">
        <v>0.26657399999999998</v>
      </c>
    </row>
    <row r="85" spans="1:5" x14ac:dyDescent="0.2">
      <c r="A85" s="51">
        <v>9.7394999999999995E-2</v>
      </c>
      <c r="B85" s="51">
        <v>0.26946100000000001</v>
      </c>
    </row>
    <row r="86" spans="1:5" x14ac:dyDescent="0.2">
      <c r="A86" s="51">
        <v>9.8419999999999994E-2</v>
      </c>
      <c r="B86" s="51">
        <v>0.27234700000000001</v>
      </c>
    </row>
    <row r="87" spans="1:5" x14ac:dyDescent="0.2">
      <c r="A87" s="51">
        <v>9.9447999999999995E-2</v>
      </c>
      <c r="B87" s="51">
        <v>0.27523399999999998</v>
      </c>
    </row>
    <row r="88" spans="1:5" x14ac:dyDescent="0.2">
      <c r="A88" s="51">
        <v>0.100477</v>
      </c>
      <c r="B88" s="51">
        <v>0.27811999999999998</v>
      </c>
    </row>
    <row r="89" spans="1:5" x14ac:dyDescent="0.2">
      <c r="A89" s="51">
        <v>0.101508</v>
      </c>
      <c r="B89" s="51">
        <v>0.28100700000000001</v>
      </c>
    </row>
    <row r="90" spans="1:5" x14ac:dyDescent="0.2">
      <c r="A90" s="51">
        <v>0.10254000000000001</v>
      </c>
      <c r="B90" s="51">
        <v>0.28389399999999998</v>
      </c>
    </row>
    <row r="91" spans="1:5" x14ac:dyDescent="0.2">
      <c r="A91" s="51">
        <v>0.103573</v>
      </c>
      <c r="B91" s="51">
        <v>0.28677999999999998</v>
      </c>
    </row>
    <row r="92" spans="1:5" x14ac:dyDescent="0.2">
      <c r="A92" s="51">
        <v>0.10460800000000001</v>
      </c>
      <c r="B92" s="51">
        <v>0.28966700000000001</v>
      </c>
    </row>
    <row r="93" spans="1:5" x14ac:dyDescent="0.2">
      <c r="A93" s="51">
        <v>0.105645</v>
      </c>
      <c r="B93" s="51">
        <v>0.29255300000000001</v>
      </c>
    </row>
    <row r="94" spans="1:5" x14ac:dyDescent="0.2">
      <c r="A94" s="51">
        <v>0.106683</v>
      </c>
      <c r="B94" s="51">
        <v>0.29543999999999998</v>
      </c>
    </row>
    <row r="95" spans="1:5" x14ac:dyDescent="0.2">
      <c r="A95" s="51">
        <v>0.107722</v>
      </c>
      <c r="B95" s="51">
        <v>0.29832700000000001</v>
      </c>
    </row>
    <row r="96" spans="1:5" x14ac:dyDescent="0.2">
      <c r="A96" s="51">
        <v>0.108762</v>
      </c>
      <c r="B96" s="51">
        <v>0.30121300000000001</v>
      </c>
    </row>
    <row r="97" spans="1:2" x14ac:dyDescent="0.2">
      <c r="A97" s="51">
        <v>0.109804</v>
      </c>
      <c r="B97" s="51">
        <v>0.30409999999999998</v>
      </c>
    </row>
    <row r="98" spans="1:2" x14ac:dyDescent="0.2">
      <c r="A98" s="51">
        <v>0.110846</v>
      </c>
      <c r="B98" s="51">
        <v>0.30698599999999998</v>
      </c>
    </row>
    <row r="99" spans="1:2" x14ac:dyDescent="0.2">
      <c r="A99" s="51">
        <v>0.11189</v>
      </c>
      <c r="B99" s="51">
        <v>0.30987300000000001</v>
      </c>
    </row>
    <row r="100" spans="1:2" x14ac:dyDescent="0.2">
      <c r="A100" s="51">
        <v>0.11293499999999999</v>
      </c>
      <c r="B100" s="51">
        <v>0.31275999999999998</v>
      </c>
    </row>
    <row r="101" spans="1:2" x14ac:dyDescent="0.2">
      <c r="A101" s="51">
        <v>0.113982</v>
      </c>
      <c r="B101" s="51">
        <v>0.31564599999999998</v>
      </c>
    </row>
    <row r="102" spans="1:2" x14ac:dyDescent="0.2">
      <c r="A102" s="51">
        <v>0.11502900000000001</v>
      </c>
      <c r="B102" s="51">
        <v>0.31853300000000001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pane ySplit="4" topLeftCell="A5" activePane="bottomLeft" state="frozen"/>
      <selection activeCell="H18" sqref="H18"/>
      <selection pane="bottomLeft" activeCell="H18" sqref="H18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62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29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H18" sqref="H18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62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63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65" t="s">
        <v>1087</v>
      </c>
      <c r="E4" s="132"/>
      <c r="F4" s="132"/>
      <c r="G4" s="132"/>
      <c r="H4" s="132"/>
      <c r="I4" s="132"/>
      <c r="J4" s="132"/>
      <c r="K4" s="132"/>
      <c r="L4" s="133"/>
    </row>
    <row r="5" spans="1:12" x14ac:dyDescent="0.2">
      <c r="A5" s="4">
        <v>1</v>
      </c>
      <c r="B5" s="18" t="s">
        <v>22</v>
      </c>
      <c r="C5" s="19">
        <v>1</v>
      </c>
      <c r="D5" s="164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64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64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64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64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64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64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64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64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64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63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2.3006993006993017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Aggressive</v>
      </c>
    </row>
    <row r="19" spans="1:12" x14ac:dyDescent="0.2">
      <c r="B19" s="22" t="s">
        <v>1094</v>
      </c>
      <c r="C19" s="23">
        <f>IFERROR(K37/L37,"—")</f>
        <v>2.4626865671641789</v>
      </c>
    </row>
    <row r="20" spans="1:12" x14ac:dyDescent="0.2">
      <c r="B20" s="22" t="s">
        <v>1095</v>
      </c>
      <c r="C20" s="23">
        <f>IFERROR(I37/L37,"—")</f>
        <v>1.5373134328358204</v>
      </c>
    </row>
    <row r="21" spans="1:12" x14ac:dyDescent="0.2">
      <c r="B21" s="22" t="s">
        <v>1096</v>
      </c>
      <c r="C21" s="23">
        <f>IFERROR(J37/L37,"—")</f>
        <v>7.9402985074626846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63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3.9</v>
      </c>
      <c r="C27" s="25" t="str">
        <f>'1_Questionnaire'!C9</f>
        <v>Behavioural Loss Reactions</v>
      </c>
      <c r="D27" s="7">
        <f t="shared" ref="D27:D36" si="0">IFERROR(VLOOKUP(C27,$B$5:$C$14,2,FALSE),"")</f>
        <v>0.7</v>
      </c>
      <c r="E27" s="7">
        <f>'1_Questionnaire'!G9</f>
        <v>8</v>
      </c>
      <c r="F27" s="4">
        <f t="shared" ref="F27:F36" si="1">IF(ISNUMBER(E27),1,0)</f>
        <v>1</v>
      </c>
      <c r="G27" s="7">
        <f>IF(B27="","",IFERROR(VLOOKUP(B27&amp;"",'15_QID_Bounds'!$A:$C,2,FALSE),""))</f>
        <v>2</v>
      </c>
      <c r="H27" s="7">
        <f>IF(B27="","",IFERROR(VLOOKUP(B27&amp;"",'15_QID_Bounds'!$A:$C,3,FALSE),""))</f>
        <v>8</v>
      </c>
      <c r="I27" s="23">
        <f t="shared" ref="I27:I36" si="2">IFERROR(G27*D27*F27,0)</f>
        <v>1.4</v>
      </c>
      <c r="J27" s="23">
        <f t="shared" ref="J27:J36" si="3">IFERROR(H27*D27*F27,0)</f>
        <v>5.6</v>
      </c>
      <c r="K27" s="23">
        <f t="shared" ref="K27:K36" si="4">IF(F27=1,IFERROR(E27*D27,0),0)</f>
        <v>5.6</v>
      </c>
      <c r="L27" s="7">
        <f t="shared" ref="L27:L36" si="5">IFERROR(D27*F27,0)</f>
        <v>0.7</v>
      </c>
    </row>
    <row r="28" spans="1:12" ht="32" x14ac:dyDescent="0.2">
      <c r="A28" s="4">
        <v>2</v>
      </c>
      <c r="B28" s="4" t="str">
        <f>'1_Questionnaire'!B10</f>
        <v>9.3</v>
      </c>
      <c r="C28" s="25" t="str">
        <f>'1_Questionnaire'!C10</f>
        <v>Market Event Scenarios</v>
      </c>
      <c r="D28" s="7">
        <f t="shared" si="0"/>
        <v>0.7</v>
      </c>
      <c r="E28" s="7">
        <f>'1_Questionnaire'!G10</f>
        <v>1.5</v>
      </c>
      <c r="F28" s="4">
        <f t="shared" si="1"/>
        <v>1</v>
      </c>
      <c r="G28" s="7">
        <f>IF(B28="","",IFERROR(VLOOKUP(B28&amp;"",'15_QID_Bounds'!$A:$C,2,FALSE),""))</f>
        <v>1.5</v>
      </c>
      <c r="H28" s="7">
        <f>IF(B28="","",IFERROR(VLOOKUP(B28&amp;"",'15_QID_Bounds'!$A:$C,3,FALSE),""))</f>
        <v>8</v>
      </c>
      <c r="I28" s="23">
        <f t="shared" si="2"/>
        <v>1.0499999999999998</v>
      </c>
      <c r="J28" s="23">
        <f t="shared" si="3"/>
        <v>5.6</v>
      </c>
      <c r="K28" s="23">
        <f t="shared" si="4"/>
        <v>1.0499999999999998</v>
      </c>
      <c r="L28" s="7">
        <f t="shared" si="5"/>
        <v>0.7</v>
      </c>
    </row>
    <row r="29" spans="1:12" ht="48" x14ac:dyDescent="0.2">
      <c r="A29" s="4">
        <v>3</v>
      </c>
      <c r="B29" s="4" t="str">
        <f>'1_Questionnaire'!B11</f>
        <v>5.9</v>
      </c>
      <c r="C29" s="25" t="str">
        <f>'1_Questionnaire'!C11</f>
        <v>Forced Concentration</v>
      </c>
      <c r="D29" s="7">
        <f t="shared" si="0"/>
        <v>1</v>
      </c>
      <c r="E29" s="7">
        <f>'1_Questionnaire'!G11</f>
        <v>2</v>
      </c>
      <c r="F29" s="4">
        <f t="shared" si="1"/>
        <v>1</v>
      </c>
      <c r="G29" s="7">
        <f>IF(B29="","",IFERROR(VLOOKUP(B29&amp;"",'15_QID_Bounds'!$A:$C,2,FALSE),""))</f>
        <v>1</v>
      </c>
      <c r="H29" s="7">
        <f>IF(B29="","",IFERROR(VLOOKUP(B29&amp;"",'15_QID_Bounds'!$A:$C,3,FALSE),""))</f>
        <v>7</v>
      </c>
      <c r="I29" s="23">
        <f t="shared" si="2"/>
        <v>1</v>
      </c>
      <c r="J29" s="23">
        <f t="shared" si="3"/>
        <v>7</v>
      </c>
      <c r="K29" s="23">
        <f t="shared" si="4"/>
        <v>2</v>
      </c>
      <c r="L29" s="7">
        <f t="shared" si="5"/>
        <v>1</v>
      </c>
    </row>
    <row r="30" spans="1:12" ht="32" x14ac:dyDescent="0.2">
      <c r="A30" s="4">
        <v>4</v>
      </c>
      <c r="B30" s="4" t="str">
        <f>'1_Questionnaire'!B12</f>
        <v>7.1</v>
      </c>
      <c r="C30" s="25" t="str">
        <f>'1_Questionnaire'!C12</f>
        <v>Experience &amp; Knowledge</v>
      </c>
      <c r="D30" s="7">
        <f t="shared" si="0"/>
        <v>0.4</v>
      </c>
      <c r="E30" s="7">
        <f>'1_Questionnaire'!G12</f>
        <v>2.5</v>
      </c>
      <c r="F30" s="4">
        <f t="shared" si="1"/>
        <v>1</v>
      </c>
      <c r="G30" s="7">
        <f>IF(B30="","",IFERROR(VLOOKUP(B30&amp;"",'15_QID_Bounds'!$A:$C,2,FALSE),""))</f>
        <v>2.5</v>
      </c>
      <c r="H30" s="7">
        <f>IF(B30="","",IFERROR(VLOOKUP(B30&amp;"",'15_QID_Bounds'!$A:$C,3,FALSE),""))</f>
        <v>8</v>
      </c>
      <c r="I30" s="23">
        <f t="shared" si="2"/>
        <v>1</v>
      </c>
      <c r="J30" s="23">
        <f t="shared" si="3"/>
        <v>3.2</v>
      </c>
      <c r="K30" s="23">
        <f t="shared" si="4"/>
        <v>1</v>
      </c>
      <c r="L30" s="7">
        <f t="shared" si="5"/>
        <v>0.4</v>
      </c>
    </row>
    <row r="31" spans="1:12" ht="32" x14ac:dyDescent="0.2">
      <c r="A31" s="4">
        <v>5</v>
      </c>
      <c r="B31" s="4" t="str">
        <f>'1_Questionnaire'!B13</f>
        <v>8.6</v>
      </c>
      <c r="C31" s="25" t="str">
        <f>'1_Questionnaire'!C13</f>
        <v>Goals &amp; Purpose</v>
      </c>
      <c r="D31" s="7">
        <f t="shared" si="0"/>
        <v>0.7</v>
      </c>
      <c r="E31" s="7">
        <f>'1_Questionnaire'!G13</f>
        <v>1.5</v>
      </c>
      <c r="F31" s="4">
        <f t="shared" si="1"/>
        <v>1</v>
      </c>
      <c r="G31" s="7">
        <f>IF(B31="","",IFERROR(VLOOKUP(B31&amp;"",'15_QID_Bounds'!$A:$C,2,FALSE),""))</f>
        <v>1.5</v>
      </c>
      <c r="H31" s="7">
        <f>IF(B31="","",IFERROR(VLOOKUP(B31&amp;"",'15_QID_Bounds'!$A:$C,3,FALSE),""))</f>
        <v>8</v>
      </c>
      <c r="I31" s="23">
        <f t="shared" si="2"/>
        <v>1.0499999999999998</v>
      </c>
      <c r="J31" s="23">
        <f t="shared" si="3"/>
        <v>5.6</v>
      </c>
      <c r="K31" s="23">
        <f t="shared" si="4"/>
        <v>1.0499999999999998</v>
      </c>
      <c r="L31" s="7">
        <f t="shared" si="5"/>
        <v>0.7</v>
      </c>
    </row>
    <row r="32" spans="1:12" ht="48" x14ac:dyDescent="0.2">
      <c r="A32" s="4">
        <v>6</v>
      </c>
      <c r="B32" s="4" t="str">
        <f>'1_Questionnaire'!B14</f>
        <v>6.10</v>
      </c>
      <c r="C32" s="25" t="str">
        <f>'1_Questionnaire'!C14</f>
        <v>Self-Description &amp; Personality</v>
      </c>
      <c r="D32" s="7">
        <f t="shared" si="0"/>
        <v>0.7</v>
      </c>
      <c r="E32" s="7">
        <f>'1_Questionnaire'!G14</f>
        <v>1</v>
      </c>
      <c r="F32" s="4">
        <f t="shared" si="1"/>
        <v>1</v>
      </c>
      <c r="G32" s="7">
        <f>IF(B32="","",IFERROR(VLOOKUP(B32&amp;"",'15_QID_Bounds'!$A:$C,2,FALSE),""))</f>
        <v>1</v>
      </c>
      <c r="H32" s="7">
        <f>IF(B32="","",IFERROR(VLOOKUP(B32&amp;"",'15_QID_Bounds'!$A:$C,3,FALSE),""))</f>
        <v>7</v>
      </c>
      <c r="I32" s="23">
        <f t="shared" si="2"/>
        <v>0.7</v>
      </c>
      <c r="J32" s="23">
        <f t="shared" si="3"/>
        <v>4.8999999999999995</v>
      </c>
      <c r="K32" s="23">
        <f t="shared" si="4"/>
        <v>0.7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10.7</v>
      </c>
      <c r="C33" s="25" t="str">
        <f>'1_Questionnaire'!C15</f>
        <v>Situational Finance</v>
      </c>
      <c r="D33" s="7">
        <f t="shared" si="0"/>
        <v>0.4</v>
      </c>
      <c r="E33" s="7">
        <f>'1_Questionnaire'!G15</f>
        <v>4</v>
      </c>
      <c r="F33" s="4">
        <f t="shared" si="1"/>
        <v>1</v>
      </c>
      <c r="G33" s="7">
        <f>IF(B33="","",IFERROR(VLOOKUP(B33&amp;"",'15_QID_Bounds'!$A:$C,2,FALSE),""))</f>
        <v>4</v>
      </c>
      <c r="H33" s="7">
        <f>IF(B33="","",IFERROR(VLOOKUP(B33&amp;"",'15_QID_Bounds'!$A:$C,3,FALSE),""))</f>
        <v>8</v>
      </c>
      <c r="I33" s="23">
        <f t="shared" si="2"/>
        <v>1.6</v>
      </c>
      <c r="J33" s="23">
        <f t="shared" si="3"/>
        <v>3.2</v>
      </c>
      <c r="K33" s="23">
        <f t="shared" si="4"/>
        <v>1.6</v>
      </c>
      <c r="L33" s="7">
        <f t="shared" si="5"/>
        <v>0.4</v>
      </c>
    </row>
    <row r="34" spans="1:12" ht="32" x14ac:dyDescent="0.2">
      <c r="A34" s="4">
        <v>8</v>
      </c>
      <c r="B34" s="4" t="str">
        <f>'1_Questionnaire'!B16</f>
        <v>2.9</v>
      </c>
      <c r="C34" s="25" t="str">
        <f>'1_Questionnaire'!C16</f>
        <v>Time Horizon &amp; Liquidity</v>
      </c>
      <c r="D34" s="7">
        <f t="shared" si="0"/>
        <v>0.4</v>
      </c>
      <c r="E34" s="7">
        <f>'1_Questionnaire'!G16</f>
        <v>2</v>
      </c>
      <c r="F34" s="4">
        <f t="shared" si="1"/>
        <v>1</v>
      </c>
      <c r="G34" s="7">
        <f>IF(B34="","",IFERROR(VLOOKUP(B34&amp;"",'15_QID_Bounds'!$A:$C,2,FALSE),""))</f>
        <v>2</v>
      </c>
      <c r="H34" s="7">
        <f>IF(B34="","",IFERROR(VLOOKUP(B34&amp;"",'15_QID_Bounds'!$A:$C,3,FALSE),""))</f>
        <v>7</v>
      </c>
      <c r="I34" s="23">
        <f t="shared" si="2"/>
        <v>0.8</v>
      </c>
      <c r="J34" s="23">
        <f t="shared" si="3"/>
        <v>2.8000000000000003</v>
      </c>
      <c r="K34" s="23">
        <f t="shared" si="4"/>
        <v>0.8</v>
      </c>
      <c r="L34" s="7">
        <f t="shared" si="5"/>
        <v>0.4</v>
      </c>
    </row>
    <row r="35" spans="1:12" ht="32" x14ac:dyDescent="0.2">
      <c r="A35" s="4">
        <v>9</v>
      </c>
      <c r="B35" s="4" t="str">
        <f>'1_Questionnaire'!B17</f>
        <v>1.8</v>
      </c>
      <c r="C35" s="25" t="str">
        <f>'1_Questionnaire'!C17</f>
        <v>Explicit Gambles</v>
      </c>
      <c r="D35" s="7">
        <f t="shared" si="0"/>
        <v>1</v>
      </c>
      <c r="E35" s="7">
        <f>'1_Questionnaire'!G17</f>
        <v>2</v>
      </c>
      <c r="F35" s="4">
        <f t="shared" si="1"/>
        <v>1</v>
      </c>
      <c r="G35" s="7">
        <f>IF(B35="","",IFERROR(VLOOKUP(B35&amp;"",'15_QID_Bounds'!$A:$C,2,FALSE),""))</f>
        <v>1</v>
      </c>
      <c r="H35" s="7">
        <f>IF(B35="","",IFERROR(VLOOKUP(B35&amp;"",'15_QID_Bounds'!$A:$C,3,FALSE),""))</f>
        <v>9</v>
      </c>
      <c r="I35" s="23">
        <f t="shared" si="2"/>
        <v>1</v>
      </c>
      <c r="J35" s="23">
        <f t="shared" si="3"/>
        <v>9</v>
      </c>
      <c r="K35" s="23">
        <f t="shared" si="4"/>
        <v>2</v>
      </c>
      <c r="L35" s="7">
        <f t="shared" si="5"/>
        <v>1</v>
      </c>
    </row>
    <row r="36" spans="1:12" ht="48" x14ac:dyDescent="0.2">
      <c r="A36" s="4">
        <v>10</v>
      </c>
      <c r="B36" s="4" t="str">
        <f>'1_Questionnaire'!B18</f>
        <v>4.10</v>
      </c>
      <c r="C36" s="25" t="str">
        <f>'1_Questionnaire'!C18</f>
        <v>Portfolio Allocation Preferences</v>
      </c>
      <c r="D36" s="7">
        <f t="shared" si="0"/>
        <v>0.7</v>
      </c>
      <c r="E36" s="7">
        <f>'1_Questionnaire'!G18</f>
        <v>1</v>
      </c>
      <c r="F36" s="4">
        <f t="shared" si="1"/>
        <v>1</v>
      </c>
      <c r="G36" s="7">
        <f>IF(B36="","",IFERROR(VLOOKUP(B36&amp;"",'15_QID_Bounds'!$A:$C,2,FALSE),""))</f>
        <v>1</v>
      </c>
      <c r="H36" s="7">
        <f>IF(B36="","",IFERROR(VLOOKUP(B36&amp;"",'15_QID_Bounds'!$A:$C,3,FALSE),""))</f>
        <v>9</v>
      </c>
      <c r="I36" s="23">
        <f t="shared" si="2"/>
        <v>0.7</v>
      </c>
      <c r="J36" s="23">
        <f t="shared" si="3"/>
        <v>6.3</v>
      </c>
      <c r="K36" s="23">
        <f t="shared" si="4"/>
        <v>0.7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17.5</v>
      </c>
      <c r="H37" s="27">
        <f t="shared" si="6"/>
        <v>79</v>
      </c>
      <c r="I37" s="27">
        <f t="shared" si="6"/>
        <v>10.299999999999999</v>
      </c>
      <c r="J37" s="27">
        <f t="shared" si="6"/>
        <v>53.199999999999996</v>
      </c>
      <c r="K37" s="27">
        <f t="shared" si="6"/>
        <v>16.5</v>
      </c>
      <c r="L37" s="26">
        <f t="shared" si="6"/>
        <v>6.7000000000000011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30"/>
  <sheetViews>
    <sheetView workbookViewId="0">
      <pane xSplit="4" ySplit="2" topLeftCell="E3" activePane="bottomRight" state="frozen"/>
      <selection activeCell="H18" sqref="H18"/>
      <selection pane="topRight" activeCell="H18" sqref="H18"/>
      <selection pane="bottomLeft" activeCell="H18" sqref="H18"/>
      <selection pane="bottomRight" activeCell="N18" sqref="N18"/>
    </sheetView>
    <sheetView tabSelected="1" workbookViewId="1">
      <selection activeCell="G24" sqref="G24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34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31" t="s">
        <v>1111</v>
      </c>
      <c r="F2" s="132"/>
      <c r="G2" s="132"/>
      <c r="H2" s="132"/>
      <c r="I2" s="132"/>
      <c r="J2" s="132"/>
      <c r="K2" s="132"/>
      <c r="L2" s="132"/>
      <c r="M2" s="132"/>
      <c r="N2" s="133"/>
    </row>
    <row r="3" spans="1:14" x14ac:dyDescent="0.2">
      <c r="A3" s="29" t="s">
        <v>1112</v>
      </c>
      <c r="B3" s="30">
        <v>0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0.58945916803786569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0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0.41054083196213409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0.99999999999999978</v>
      </c>
    </row>
    <row r="15" spans="1:14" x14ac:dyDescent="0.2">
      <c r="A15" s="20" t="s">
        <v>1123</v>
      </c>
      <c r="B15" s="37">
        <f>SUMPRODUCT(B3:B12,MMULT(E3:N12,B3:B12))</f>
        <v>5.7892754987528966E-2</v>
      </c>
    </row>
    <row r="16" spans="1:14" x14ac:dyDescent="0.2">
      <c r="A16" s="20" t="s">
        <v>1124</v>
      </c>
      <c r="B16" s="31">
        <f>SQRT(B15)</f>
        <v>0.24060913321719307</v>
      </c>
    </row>
    <row r="17" spans="1:14" x14ac:dyDescent="0.2">
      <c r="A17" s="20" t="s">
        <v>1125</v>
      </c>
      <c r="B17" s="38">
        <f>SUMPRODUCT(B3:B12,C3:C12)</f>
        <v>0.21900888598827883</v>
      </c>
    </row>
    <row r="18" spans="1:14" x14ac:dyDescent="0.2">
      <c r="A18" s="35" t="s">
        <v>1126</v>
      </c>
      <c r="B18" s="39">
        <f>'11_Scoring'!$C$17</f>
        <v>2.3006993006993017</v>
      </c>
    </row>
    <row r="19" spans="1:14" ht="19" x14ac:dyDescent="0.2">
      <c r="A19" s="8" t="s">
        <v>1127</v>
      </c>
      <c r="B19" s="40">
        <f>B17-0.5*B18*B15</f>
        <v>0.15241197553059688</v>
      </c>
    </row>
    <row r="21" spans="1:14" ht="36" customHeight="1" x14ac:dyDescent="0.2">
      <c r="A21" s="137" t="s">
        <v>1128</v>
      </c>
      <c r="B21" s="130"/>
      <c r="C21" s="130"/>
      <c r="D21" s="130"/>
      <c r="E21" s="135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36" t="s">
        <v>1129</v>
      </c>
      <c r="B22" s="130"/>
      <c r="C22" s="130"/>
      <c r="D22" s="130"/>
      <c r="E22" s="135"/>
      <c r="F22" s="130"/>
      <c r="G22" s="130"/>
      <c r="H22" s="130"/>
      <c r="I22" s="130"/>
      <c r="J22" s="130"/>
      <c r="K22" s="130"/>
      <c r="L22" s="130"/>
      <c r="M22" s="130"/>
      <c r="N22" s="130"/>
    </row>
    <row r="24" spans="1:14" x14ac:dyDescent="0.2">
      <c r="A24" s="41" t="s">
        <v>1130</v>
      </c>
      <c r="B24" s="42">
        <f>(B17-'13_Part_1_Data'!$B$4)/B16</f>
        <v>0.76476268181464946</v>
      </c>
    </row>
    <row r="25" spans="1:14" x14ac:dyDescent="0.2">
      <c r="A25" s="41" t="s">
        <v>1131</v>
      </c>
      <c r="B25" s="43">
        <f>100000*(1+B17)</f>
        <v>121900.88859882788</v>
      </c>
    </row>
    <row r="27" spans="1:14" x14ac:dyDescent="0.2">
      <c r="A27" s="129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pane xSplit="1" ySplit="6" topLeftCell="B7" activePane="bottomRight" state="frozen"/>
      <selection activeCell="H18" sqref="H18"/>
      <selection pane="topRight" activeCell="H18" sqref="H18"/>
      <selection pane="bottomLeft" activeCell="H18" sqref="H18"/>
      <selection pane="bottomRight" activeCell="K29" sqref="K29"/>
    </sheetView>
    <sheetView workbookViewId="1">
      <selection activeCell="B36" sqref="B36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62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>
      <selection activeCell="H18" sqref="H18"/>
    </sheetView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pane ySplit="4" topLeftCell="A5" activePane="bottomLeft" state="frozen"/>
      <selection activeCell="H18" sqref="H18"/>
      <selection pane="bottomLeft" activeCell="X48" sqref="X48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62" t="s">
        <v>1207</v>
      </c>
      <c r="B1" s="130"/>
      <c r="C1" s="130"/>
    </row>
    <row r="2" spans="1:3" ht="30" customHeight="1" x14ac:dyDescent="0.2">
      <c r="A2" s="129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2026-04-22T20:25:14Z</dcterms:modified>
</cp:coreProperties>
</file>