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itaalekhyapaul/Documents/[Local] BMD5302/bmd5302-project/"/>
    </mc:Choice>
  </mc:AlternateContent>
  <xr:revisionPtr revIDLastSave="0" documentId="13_ncr:1_{BD17289C-EA15-AE45-B5AD-705FB94B7827}" xr6:coauthVersionLast="47" xr6:coauthVersionMax="47" xr10:uidLastSave="{00000000-0000-0000-0000-000000000000}"/>
  <bookViews>
    <workbookView xWindow="18000" yWindow="800" windowWidth="18000" windowHeight="22580" firstSheet="1" activeTab="1" xr2:uid="{02B29057-D017-CC41-8DEE-F91C1C4C22F5}"/>
  </bookViews>
  <sheets>
    <sheet name="1_Questionnaire" sheetId="1" r:id="rId1"/>
    <sheet name="2_MVP_Calculator" sheetId="15" r:id="rId2"/>
    <sheet name="3_Summary" sheetId="8" r:id="rId3"/>
    <sheet name="4_Prices" sheetId="9" r:id="rId4"/>
    <sheet name="5_Returns" sheetId="10" r:id="rId5"/>
    <sheet name="6_Statistics" sheetId="11" r:id="rId6"/>
    <sheet name="7_Frontier_ShortSale" sheetId="12" r:id="rId7"/>
    <sheet name="8_Frontier_NoShort" sheetId="13" r:id="rId8"/>
    <sheet name="9_Charts" sheetId="14" r:id="rId9"/>
    <sheet name="10_Question_Bank" sheetId="2" r:id="rId10"/>
    <sheet name="11_Scoring" sheetId="3" r:id="rId11"/>
    <sheet name="12_Optimizer" sheetId="4" r:id="rId12"/>
    <sheet name="13_Part_1_Data" sheetId="5" r:id="rId13"/>
    <sheet name="14_Methodology" sheetId="6" r:id="rId14"/>
    <sheet name="15_QID_Bounds" sheetId="7" r:id="rId15"/>
  </sheets>
  <functionGroups builtInGroupCount="19"/>
  <externalReferences>
    <externalReference r:id="rId16"/>
  </externalReferences>
  <definedNames>
    <definedName name="_xlnm._FilterDatabase" localSheetId="9" hidden="1">'10_Question_Bank'!$A$4:$G$433</definedName>
    <definedName name="_xleta.RAND" hidden="1" xlm="1">#NAME?</definedName>
    <definedName name="Portfolio_Allocation">'2_MVP_Calculator'!$A$18:$D$29</definedName>
    <definedName name="retA">[1]varcov!$B$4:$L$4</definedName>
    <definedName name="solver_adj" localSheetId="11" hidden="1">'12_Optimizer'!$B$3:$B$11</definedName>
    <definedName name="solver_adj" localSheetId="1" hidden="1">'2_MVP_Calculator'!$C$19:$C$27</definedName>
    <definedName name="solver_adj" localSheetId="8" hidden="1">'9_Charts'!$C$19:$C$28</definedName>
    <definedName name="solver_cvg" localSheetId="1" hidden="1">0.0001</definedName>
    <definedName name="solver_drv" localSheetId="1" hidden="1">1</definedName>
    <definedName name="solver_eng" localSheetId="11" hidden="1">1</definedName>
    <definedName name="solver_eng" localSheetId="1" hidden="1">1</definedName>
    <definedName name="solver_eng" localSheetId="8" hidden="1">1</definedName>
    <definedName name="solver_itr" localSheetId="1" hidden="1">2147483647</definedName>
    <definedName name="solver_lhs1" localSheetId="11" hidden="1">'12_Optimizer'!$B$3:$B$11</definedName>
    <definedName name="solver_lhs1" localSheetId="1" hidden="1">'2_MVP_Calculator'!$B$14</definedName>
    <definedName name="solver_lhs1" localSheetId="8" hidden="1">'9_Charts'!$C$29</definedName>
    <definedName name="solver_lhs2" localSheetId="11" hidden="1">'12_Optimizer'!$B$12</definedName>
    <definedName name="solver_lhs2" localSheetId="1" hidden="1">'2_MVP_Calculator'!$C$19:$C$27</definedName>
    <definedName name="solver_lhs2" localSheetId="8" hidden="1">'9_Charts'!$B$14</definedName>
    <definedName name="solver_lhs3" localSheetId="11" hidden="1">'12_Optimizer'!$C$28</definedName>
    <definedName name="solver_lhs3" localSheetId="1" hidden="1">'2_MVP_Calculator'!$C$28</definedName>
    <definedName name="solver_lhs3" localSheetId="8" hidden="1">'9_Charts'!$C$19:$C$28</definedName>
    <definedName name="solver_lin" localSheetId="11" hidden="1">2</definedName>
    <definedName name="solver_lin" localSheetId="1" hidden="1">2</definedName>
    <definedName name="solver_lin" localSheetId="8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1" hidden="1">1</definedName>
    <definedName name="solver_neg" localSheetId="1" hidden="1">1</definedName>
    <definedName name="solver_neg" localSheetId="8" hidden="1">1</definedName>
    <definedName name="solver_nod" localSheetId="1" hidden="1">2147483647</definedName>
    <definedName name="solver_num" localSheetId="11" hidden="1">2</definedName>
    <definedName name="solver_num" localSheetId="1" hidden="1">3</definedName>
    <definedName name="solver_num" localSheetId="8" hidden="1">3</definedName>
    <definedName name="solver_opt" localSheetId="11" hidden="1">'12_Optimizer'!$B$19</definedName>
    <definedName name="solver_opt" localSheetId="1" hidden="1">'2_MVP_Calculator'!$B$12</definedName>
    <definedName name="solver_opt" localSheetId="8" hidden="1">'9_Charts'!$B$14</definedName>
    <definedName name="solver_pre" localSheetId="1" hidden="1">0.000001</definedName>
    <definedName name="solver_rbv" localSheetId="1" hidden="1">1</definedName>
    <definedName name="solver_rel1" localSheetId="11" hidden="1">3</definedName>
    <definedName name="solver_rel1" localSheetId="1" hidden="1">2</definedName>
    <definedName name="solver_rel1" localSheetId="8" hidden="1">2</definedName>
    <definedName name="solver_rel2" localSheetId="11" hidden="1">3</definedName>
    <definedName name="solver_rel2" localSheetId="1" hidden="1">3</definedName>
    <definedName name="solver_rel2" localSheetId="8" hidden="1">2</definedName>
    <definedName name="solver_rel3" localSheetId="11" hidden="1">3</definedName>
    <definedName name="solver_rel3" localSheetId="1" hidden="1">3</definedName>
    <definedName name="solver_rel3" localSheetId="8" hidden="1">3</definedName>
    <definedName name="solver_rhs1" localSheetId="11" hidden="1">0</definedName>
    <definedName name="solver_rhs1" localSheetId="1" hidden="1">0.0260045048249699</definedName>
    <definedName name="solver_rhs1" localSheetId="8" hidden="1">1</definedName>
    <definedName name="solver_rhs2" localSheetId="11" hidden="1">0</definedName>
    <definedName name="solver_rhs2" localSheetId="1" hidden="1">0</definedName>
    <definedName name="solver_rhs2" localSheetId="8" hidden="1">0.001444</definedName>
    <definedName name="solver_rhs3" localSheetId="11" hidden="1">-1</definedName>
    <definedName name="solver_rhs3" localSheetId="1" hidden="1">0</definedName>
    <definedName name="solver_rhs3" localSheetId="8" hidden="1">-1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1" hidden="1">1</definedName>
    <definedName name="solver_typ" localSheetId="1" hidden="1">1</definedName>
    <definedName name="solver_typ" localSheetId="8" hidden="1">2</definedName>
    <definedName name="solver_val" localSheetId="11" hidden="1">0</definedName>
    <definedName name="solver_val" localSheetId="1" hidden="1">0</definedName>
    <definedName name="solver_val" localSheetId="8" hidden="1">0</definedName>
    <definedName name="solver_ver" localSheetId="11" hidden="1">2</definedName>
    <definedName name="solver_ver" localSheetId="1" hidden="1">2</definedName>
    <definedName name="solver_ver" localSheetId="8" hidden="1">2</definedName>
    <definedName name="varcov">[1]varcov!$B$10:$L$20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5" l="1"/>
  <c r="B14" i="15" l="1"/>
  <c r="K42" i="15"/>
  <c r="J42" i="15"/>
  <c r="I42" i="15"/>
  <c r="H42" i="15"/>
  <c r="G42" i="15"/>
  <c r="F42" i="15"/>
  <c r="E42" i="15"/>
  <c r="D42" i="15"/>
  <c r="C42" i="15"/>
  <c r="B42" i="15"/>
  <c r="K41" i="15"/>
  <c r="J41" i="15"/>
  <c r="I41" i="15"/>
  <c r="H41" i="15"/>
  <c r="G41" i="15"/>
  <c r="F41" i="15"/>
  <c r="E41" i="15"/>
  <c r="D41" i="15"/>
  <c r="C41" i="15"/>
  <c r="B41" i="15"/>
  <c r="K40" i="15"/>
  <c r="J40" i="15"/>
  <c r="I40" i="15"/>
  <c r="H40" i="15"/>
  <c r="G40" i="15"/>
  <c r="F40" i="15"/>
  <c r="E40" i="15"/>
  <c r="D40" i="15"/>
  <c r="C40" i="15"/>
  <c r="B40" i="15"/>
  <c r="K39" i="15"/>
  <c r="J39" i="15"/>
  <c r="I39" i="15"/>
  <c r="H39" i="15"/>
  <c r="G39" i="15"/>
  <c r="F39" i="15"/>
  <c r="E39" i="15"/>
  <c r="D39" i="15"/>
  <c r="C39" i="15"/>
  <c r="B39" i="15"/>
  <c r="K38" i="15"/>
  <c r="J38" i="15"/>
  <c r="I38" i="15"/>
  <c r="H38" i="15"/>
  <c r="G38" i="15"/>
  <c r="F38" i="15"/>
  <c r="E38" i="15"/>
  <c r="D38" i="15"/>
  <c r="C38" i="15"/>
  <c r="B38" i="15"/>
  <c r="K37" i="15"/>
  <c r="J37" i="15"/>
  <c r="I37" i="15"/>
  <c r="H37" i="15"/>
  <c r="G37" i="15"/>
  <c r="F37" i="15"/>
  <c r="E37" i="15"/>
  <c r="D37" i="15"/>
  <c r="C37" i="15"/>
  <c r="B37" i="15"/>
  <c r="K36" i="15"/>
  <c r="J36" i="15"/>
  <c r="I36" i="15"/>
  <c r="H36" i="15"/>
  <c r="G36" i="15"/>
  <c r="F36" i="15"/>
  <c r="E36" i="15"/>
  <c r="D36" i="15"/>
  <c r="C36" i="15"/>
  <c r="B36" i="15"/>
  <c r="K35" i="15"/>
  <c r="J35" i="15"/>
  <c r="I35" i="15"/>
  <c r="H35" i="15"/>
  <c r="G35" i="15"/>
  <c r="F35" i="15"/>
  <c r="E35" i="15"/>
  <c r="D35" i="15"/>
  <c r="C35" i="15"/>
  <c r="B35" i="15"/>
  <c r="K34" i="15"/>
  <c r="J34" i="15"/>
  <c r="I34" i="15"/>
  <c r="H34" i="15"/>
  <c r="G34" i="15"/>
  <c r="F34" i="15"/>
  <c r="E34" i="15"/>
  <c r="D34" i="15"/>
  <c r="C34" i="15"/>
  <c r="B34" i="15"/>
  <c r="K33" i="15"/>
  <c r="J33" i="15"/>
  <c r="I33" i="15"/>
  <c r="H33" i="15"/>
  <c r="G33" i="15"/>
  <c r="F33" i="15"/>
  <c r="E33" i="15"/>
  <c r="D33" i="15"/>
  <c r="C33" i="15"/>
  <c r="B33" i="15"/>
  <c r="D28" i="15"/>
  <c r="D27" i="15"/>
  <c r="D26" i="15"/>
  <c r="D25" i="15"/>
  <c r="D24" i="15"/>
  <c r="D23" i="15"/>
  <c r="D22" i="15"/>
  <c r="D21" i="15"/>
  <c r="D20" i="15"/>
  <c r="D19" i="15"/>
  <c r="C29" i="15" l="1"/>
  <c r="B12" i="15"/>
  <c r="B13" i="15"/>
  <c r="N12" i="4"/>
  <c r="M12" i="4"/>
  <c r="L12" i="4"/>
  <c r="K12" i="4"/>
  <c r="J12" i="4"/>
  <c r="I12" i="4"/>
  <c r="H12" i="4"/>
  <c r="G12" i="4"/>
  <c r="F12" i="4"/>
  <c r="E12" i="4"/>
  <c r="B12" i="4"/>
  <c r="B17" i="4" s="1"/>
  <c r="B25" i="4" s="1"/>
  <c r="N11" i="4"/>
  <c r="M11" i="4"/>
  <c r="L11" i="4"/>
  <c r="K11" i="4"/>
  <c r="J11" i="4"/>
  <c r="I11" i="4"/>
  <c r="H11" i="4"/>
  <c r="G11" i="4"/>
  <c r="F11" i="4"/>
  <c r="E11" i="4"/>
  <c r="N10" i="4"/>
  <c r="M10" i="4"/>
  <c r="L10" i="4"/>
  <c r="K10" i="4"/>
  <c r="J10" i="4"/>
  <c r="I10" i="4"/>
  <c r="H10" i="4"/>
  <c r="G10" i="4"/>
  <c r="F10" i="4"/>
  <c r="E10" i="4"/>
  <c r="N9" i="4"/>
  <c r="M9" i="4"/>
  <c r="L9" i="4"/>
  <c r="K9" i="4"/>
  <c r="J9" i="4"/>
  <c r="I9" i="4"/>
  <c r="H9" i="4"/>
  <c r="G9" i="4"/>
  <c r="F9" i="4"/>
  <c r="E9" i="4"/>
  <c r="N8" i="4"/>
  <c r="M8" i="4"/>
  <c r="L8" i="4"/>
  <c r="K8" i="4"/>
  <c r="J8" i="4"/>
  <c r="I8" i="4"/>
  <c r="H8" i="4"/>
  <c r="G8" i="4"/>
  <c r="F8" i="4"/>
  <c r="E8" i="4"/>
  <c r="N7" i="4"/>
  <c r="M7" i="4"/>
  <c r="L7" i="4"/>
  <c r="K7" i="4"/>
  <c r="J7" i="4"/>
  <c r="I7" i="4"/>
  <c r="H7" i="4"/>
  <c r="G7" i="4"/>
  <c r="F7" i="4"/>
  <c r="E7" i="4"/>
  <c r="N6" i="4"/>
  <c r="M6" i="4"/>
  <c r="L6" i="4"/>
  <c r="K6" i="4"/>
  <c r="J6" i="4"/>
  <c r="I6" i="4"/>
  <c r="H6" i="4"/>
  <c r="G6" i="4"/>
  <c r="F6" i="4"/>
  <c r="E6" i="4"/>
  <c r="N5" i="4"/>
  <c r="M5" i="4"/>
  <c r="L5" i="4"/>
  <c r="K5" i="4"/>
  <c r="J5" i="4"/>
  <c r="I5" i="4"/>
  <c r="H5" i="4"/>
  <c r="G5" i="4"/>
  <c r="F5" i="4"/>
  <c r="E5" i="4"/>
  <c r="N4" i="4"/>
  <c r="M4" i="4"/>
  <c r="L4" i="4"/>
  <c r="K4" i="4"/>
  <c r="J4" i="4"/>
  <c r="I4" i="4"/>
  <c r="H4" i="4"/>
  <c r="G4" i="4"/>
  <c r="F4" i="4"/>
  <c r="E4" i="4"/>
  <c r="N3" i="4"/>
  <c r="M3" i="4"/>
  <c r="L3" i="4"/>
  <c r="K3" i="4"/>
  <c r="J3" i="4"/>
  <c r="I3" i="4"/>
  <c r="H3" i="4"/>
  <c r="G3" i="4"/>
  <c r="F3" i="4"/>
  <c r="E3" i="4"/>
  <c r="C36" i="3"/>
  <c r="D36" i="3" s="1"/>
  <c r="B36" i="3"/>
  <c r="H36" i="3" s="1"/>
  <c r="C35" i="3"/>
  <c r="D35" i="3" s="1"/>
  <c r="B35" i="3"/>
  <c r="G35" i="3" s="1"/>
  <c r="C34" i="3"/>
  <c r="D34" i="3" s="1"/>
  <c r="B34" i="3"/>
  <c r="H34" i="3" s="1"/>
  <c r="C33" i="3"/>
  <c r="D33" i="3" s="1"/>
  <c r="B33" i="3"/>
  <c r="H33" i="3" s="1"/>
  <c r="C32" i="3"/>
  <c r="D32" i="3" s="1"/>
  <c r="B32" i="3"/>
  <c r="G32" i="3" s="1"/>
  <c r="C31" i="3"/>
  <c r="D31" i="3" s="1"/>
  <c r="B31" i="3"/>
  <c r="H31" i="3" s="1"/>
  <c r="C30" i="3"/>
  <c r="D30" i="3" s="1"/>
  <c r="B30" i="3"/>
  <c r="G30" i="3" s="1"/>
  <c r="C29" i="3"/>
  <c r="D29" i="3" s="1"/>
  <c r="B29" i="3"/>
  <c r="H29" i="3" s="1"/>
  <c r="C28" i="3"/>
  <c r="D28" i="3" s="1"/>
  <c r="B28" i="3"/>
  <c r="H28" i="3" s="1"/>
  <c r="C27" i="3"/>
  <c r="D27" i="3" s="1"/>
  <c r="B27" i="3"/>
  <c r="H27" i="3" s="1"/>
  <c r="G18" i="1"/>
  <c r="E36" i="3" s="1"/>
  <c r="F36" i="3" s="1"/>
  <c r="K36" i="3" s="1"/>
  <c r="G17" i="1"/>
  <c r="E35" i="3" s="1"/>
  <c r="F35" i="3" s="1"/>
  <c r="K35" i="3" s="1"/>
  <c r="G16" i="1"/>
  <c r="E34" i="3" s="1"/>
  <c r="F34" i="3" s="1"/>
  <c r="K34" i="3" s="1"/>
  <c r="G15" i="1"/>
  <c r="E33" i="3" s="1"/>
  <c r="F33" i="3" s="1"/>
  <c r="G14" i="1"/>
  <c r="E32" i="3" s="1"/>
  <c r="F32" i="3" s="1"/>
  <c r="K32" i="3" s="1"/>
  <c r="G13" i="1"/>
  <c r="E31" i="3" s="1"/>
  <c r="F31" i="3" s="1"/>
  <c r="K31" i="3" s="1"/>
  <c r="G12" i="1"/>
  <c r="E30" i="3" s="1"/>
  <c r="F30" i="3" s="1"/>
  <c r="K30" i="3" s="1"/>
  <c r="G11" i="1"/>
  <c r="E29" i="3" s="1"/>
  <c r="F29" i="3" s="1"/>
  <c r="K29" i="3" s="1"/>
  <c r="G10" i="1"/>
  <c r="E28" i="3" s="1"/>
  <c r="F28" i="3" s="1"/>
  <c r="K28" i="3" s="1"/>
  <c r="G9" i="1"/>
  <c r="E27" i="3" s="1"/>
  <c r="F27" i="3" s="1"/>
  <c r="B15" i="15" l="1"/>
  <c r="B13" i="4"/>
  <c r="B15" i="4"/>
  <c r="B16" i="4" s="1"/>
  <c r="B5" i="15" s="1"/>
  <c r="L34" i="3"/>
  <c r="J36" i="3"/>
  <c r="I35" i="3"/>
  <c r="H30" i="3"/>
  <c r="J30" i="3" s="1"/>
  <c r="L28" i="3"/>
  <c r="G28" i="3"/>
  <c r="I28" i="3" s="1"/>
  <c r="G27" i="3"/>
  <c r="I27" i="3" s="1"/>
  <c r="H32" i="3"/>
  <c r="J32" i="3" s="1"/>
  <c r="G31" i="3"/>
  <c r="I31" i="3" s="1"/>
  <c r="G29" i="3"/>
  <c r="I29" i="3" s="1"/>
  <c r="L29" i="3"/>
  <c r="J28" i="3"/>
  <c r="L27" i="3"/>
  <c r="L33" i="3"/>
  <c r="K33" i="3"/>
  <c r="L31" i="3"/>
  <c r="L35" i="3"/>
  <c r="J31" i="3"/>
  <c r="L36" i="3"/>
  <c r="L32" i="3"/>
  <c r="J33" i="3"/>
  <c r="I32" i="3"/>
  <c r="K27" i="3"/>
  <c r="F37" i="3"/>
  <c r="C22" i="3" s="1"/>
  <c r="J29" i="3"/>
  <c r="L30" i="3"/>
  <c r="I30" i="3"/>
  <c r="J34" i="3"/>
  <c r="G36" i="3"/>
  <c r="I36" i="3" s="1"/>
  <c r="G34" i="3"/>
  <c r="I34" i="3" s="1"/>
  <c r="H35" i="3"/>
  <c r="J35" i="3" s="1"/>
  <c r="G33" i="3"/>
  <c r="I33" i="3" s="1"/>
  <c r="J27" i="3"/>
  <c r="B24" i="4" l="1"/>
  <c r="K37" i="3"/>
  <c r="L37" i="3"/>
  <c r="H37" i="3"/>
  <c r="G37" i="3"/>
  <c r="J37" i="3"/>
  <c r="I37" i="3"/>
  <c r="C20" i="3" l="1"/>
  <c r="C19" i="3"/>
  <c r="C21" i="3"/>
  <c r="C17" i="3" l="1"/>
  <c r="C18" i="3" s="1"/>
  <c r="G21" i="1" s="1"/>
  <c r="G20" i="1" l="1"/>
  <c r="B18" i="4"/>
  <c r="B19" i="4" s="1"/>
</calcChain>
</file>

<file path=xl/sharedStrings.xml><?xml version="1.0" encoding="utf-8"?>
<sst xmlns="http://schemas.openxmlformats.org/spreadsheetml/2006/main" count="3495" uniqueCount="1393">
  <si>
    <t>Risk Aversion Questionnaire  (v4 — 10 random questions, VBA-driven)</t>
  </si>
  <si>
    <t>BMD5302 Robo-Adviser Project — Part 2: Risk Assessment</t>
  </si>
  <si>
    <t>1. Press  Alt+F8  and run  RandomizeQuestions  to populate a fresh draw of 10 questions (one from each category).    2. Choose an answer (a / b / c / d / e) from the dropdown in the 'Your Answer' column.    3. Your final A and investor profile appear below (and on the Scoring sheet). 4. To clear the questionnaire, run  ClearQuestions.</t>
  </si>
  <si>
    <t>▶  RANDOMIZE 10 QUESTIONS</t>
  </si>
  <si>
    <t>✕  CLEAR</t>
  </si>
  <si>
    <t>#</t>
  </si>
  <si>
    <t>QID</t>
  </si>
  <si>
    <t>Category</t>
  </si>
  <si>
    <t>Question</t>
  </si>
  <si>
    <t>Options  (letter — text — implied A)</t>
  </si>
  <si>
    <t>Your Answer</t>
  </si>
  <si>
    <t>Implied A</t>
  </si>
  <si>
    <t>Final Risk Aversion  A :</t>
  </si>
  <si>
    <t>Investor Profile :</t>
  </si>
  <si>
    <t>After answering all 10 questions, go to the Optimizer tab and click RUN SOLVER to find your optimal 10-fund portfolio.</t>
  </si>
  <si>
    <t>Question Bank — 100 questions × 10 categories  (flat lookup)</t>
  </si>
  <si>
    <t>Key column (A) = 'QID-letter' for VLOOKUP scoring. VBA macro RandomizeQuestions reads this table directly.</t>
  </si>
  <si>
    <t>Key</t>
  </si>
  <si>
    <t>Opt</t>
  </si>
  <si>
    <t>Option Text</t>
  </si>
  <si>
    <t>1.1-a</t>
  </si>
  <si>
    <t>1.1</t>
  </si>
  <si>
    <t>Explicit Gambles</t>
  </si>
  <si>
    <t>Imagine you have a secure job paying your current income for life. You are offered a new job with a 50/50 chance that your income will either DOUBLE or be CUT. What is the largest income cut you would risk?</t>
  </si>
  <si>
    <t>a</t>
  </si>
  <si>
    <t>(a)  None — I would keep my current job no matter what</t>
  </si>
  <si>
    <t>1.1-b</t>
  </si>
  <si>
    <t>b</t>
  </si>
  <si>
    <t>(b)  A 10% cut</t>
  </si>
  <si>
    <t>1.1-c</t>
  </si>
  <si>
    <t>c</t>
  </si>
  <si>
    <t>(c)  A 20% cut</t>
  </si>
  <si>
    <t>1.1-d</t>
  </si>
  <si>
    <t>d</t>
  </si>
  <si>
    <t>(d)  A 33% cut</t>
  </si>
  <si>
    <t>1.1-e</t>
  </si>
  <si>
    <t>e</t>
  </si>
  <si>
    <t>(e)  A 50% cut or more</t>
  </si>
  <si>
    <t>1.2-a</t>
  </si>
  <si>
    <t>1.2</t>
  </si>
  <si>
    <t>You can make an investment where there is a 50/50 chance that in one year it doubles OR loses X%. What is the largest X you would accept?</t>
  </si>
  <si>
    <t>(a)  I wouldn't make the investment at all</t>
  </si>
  <si>
    <t>1.2-b</t>
  </si>
  <si>
    <t>(b)  10% loss</t>
  </si>
  <si>
    <t>1.2-c</t>
  </si>
  <si>
    <t>(c)  25% loss</t>
  </si>
  <si>
    <t>1.2-d</t>
  </si>
  <si>
    <t>(d)  50% loss</t>
  </si>
  <si>
    <t>1.2-e</t>
  </si>
  <si>
    <t>(e)  75% loss</t>
  </si>
  <si>
    <t>1.3-a</t>
  </si>
  <si>
    <t>1.3</t>
  </si>
  <si>
    <t>A coin-flip bet: heads you win $10,000, tails you lose $X. What is the largest X you would accept?</t>
  </si>
  <si>
    <t>(a)  I wouldn't take the bet at any amount</t>
  </si>
  <si>
    <t>1.3-b</t>
  </si>
  <si>
    <t>(b)  Up to $1,000</t>
  </si>
  <si>
    <t>1.3-c</t>
  </si>
  <si>
    <t>(c)  Up to $3,000</t>
  </si>
  <si>
    <t>1.3-d</t>
  </si>
  <si>
    <t>(d)  Up to $6,000</t>
  </si>
  <si>
    <t>1.3-e</t>
  </si>
  <si>
    <t>(e)  Up to $10,000 (equal risk and reward)</t>
  </si>
  <si>
    <t>1.4-a</t>
  </si>
  <si>
    <t>1.4</t>
  </si>
  <si>
    <t>Given the best and worst one-year returns of the four investment choices below, which would you prefer? (best-case / worst-case)</t>
  </si>
  <si>
    <t>(a)  $200 gain / $0 loss</t>
  </si>
  <si>
    <t>1.4-b</t>
  </si>
  <si>
    <t>(b)  $800 gain / $200 loss</t>
  </si>
  <si>
    <t>1.4-c</t>
  </si>
  <si>
    <t>(c)  $2,600 gain / $800 loss</t>
  </si>
  <si>
    <t>1.4-d</t>
  </si>
  <si>
    <t>(d)  $4,800 gain / $2,400 loss</t>
  </si>
  <si>
    <t>1.5-a</t>
  </si>
  <si>
    <t>1.5</t>
  </si>
  <si>
    <t>You own a lottery ticket with a 50% chance of paying $10,000 and a 50% chance of paying nothing. What is the lowest guaranteed cash amount you would accept to sell it?</t>
  </si>
  <si>
    <t>(a)  Less than $2,000 (sell cheap)</t>
  </si>
  <si>
    <t>1.5-b</t>
  </si>
  <si>
    <t>(b)  $2,000 – $3,500</t>
  </si>
  <si>
    <t>1.5-c</t>
  </si>
  <si>
    <t>(c)  $3,500 – $4,500</t>
  </si>
  <si>
    <t>1.5-d</t>
  </si>
  <si>
    <t>(d)  $4,500 – $5,000</t>
  </si>
  <si>
    <t>1.5-e</t>
  </si>
  <si>
    <t>(e)  I would only sell above $5,000</t>
  </si>
  <si>
    <t>1.6-a</t>
  </si>
  <si>
    <t>1.6</t>
  </si>
  <si>
    <t>You are on a TV game show. Which prize do you take?</t>
  </si>
  <si>
    <t>(a)  $1,000 in cash (guaranteed)</t>
  </si>
  <si>
    <t>1.6-b</t>
  </si>
  <si>
    <t>(b)  A 50% chance of winning $5,000</t>
  </si>
  <si>
    <t>1.6-c</t>
  </si>
  <si>
    <t>(c)  A 25% chance of winning $10,000</t>
  </si>
  <si>
    <t>1.6-d</t>
  </si>
  <si>
    <t>(d)  A 5% chance of winning $100,000</t>
  </si>
  <si>
    <t>1.7-a</t>
  </si>
  <si>
    <t>1.7</t>
  </si>
  <si>
    <t>You are evaluating four job offers. Which compensation structure do you prefer?</t>
  </si>
  <si>
    <t>(a)  Fixed $80K/year, no variation</t>
  </si>
  <si>
    <t>1.7-b</t>
  </si>
  <si>
    <t>(b)  Base $70K plus bonus of $0 – $20K</t>
  </si>
  <si>
    <t>1.7-c</t>
  </si>
  <si>
    <t>(c)  Base $50K plus commission (likely $40K – $120K total)</t>
  </si>
  <si>
    <t>1.7-d</t>
  </si>
  <si>
    <t>(d)  Pure commission ($0 – $200K depending on performance)</t>
  </si>
  <si>
    <t>1.8-a</t>
  </si>
  <si>
    <t>1.8</t>
  </si>
  <si>
    <t>A coin-flip bet: heads you win $X, tails you lose $100. What is the smallest X that would make you take the bet?</t>
  </si>
  <si>
    <t>(a)  I would not take it at any amount</t>
  </si>
  <si>
    <t>1.8-b</t>
  </si>
  <si>
    <t>(b)  At least $500</t>
  </si>
  <si>
    <t>1.8-c</t>
  </si>
  <si>
    <t>(c)  At least $200</t>
  </si>
  <si>
    <t>1.8-d</t>
  </si>
  <si>
    <t>(d)  At least $120</t>
  </si>
  <si>
    <t>1.8-e</t>
  </si>
  <si>
    <t>(e)  As long as X ≥ $100 (fair bet)</t>
  </si>
  <si>
    <t>1.9-a</t>
  </si>
  <si>
    <t>1.9</t>
  </si>
  <si>
    <t>A venture offers a 10% chance of $1,000,000 and a 90% chance of $0 (expected value $100,000). You can buy in with $50,000 of your savings. Do you?</t>
  </si>
  <si>
    <t>(a)  No — I'd rather keep the $50,000</t>
  </si>
  <si>
    <t>1.9-b</t>
  </si>
  <si>
    <t>(b)  Only if the buy-in were under $10,000</t>
  </si>
  <si>
    <t>1.9-c</t>
  </si>
  <si>
    <t>(c)  Yes — worth the gamble</t>
  </si>
  <si>
    <t>1.9-d</t>
  </si>
  <si>
    <t>(d)  Yes, and I would invest more if I could</t>
  </si>
  <si>
    <t>1.10-a</t>
  </si>
  <si>
    <t>1.10</t>
  </si>
  <si>
    <t>Which of the following do you prefer? (All have the same expected value of $500.)</t>
  </si>
  <si>
    <t>(a)  $500 guaranteed</t>
  </si>
  <si>
    <t>1.10-b</t>
  </si>
  <si>
    <t>(b)  A 50% chance of $1,000</t>
  </si>
  <si>
    <t>1.10-c</t>
  </si>
  <si>
    <t>(c)  A 25% chance of $2,000</t>
  </si>
  <si>
    <t>1.10-d</t>
  </si>
  <si>
    <t>(d)  A 10% chance of $5,000</t>
  </si>
  <si>
    <t>2.1-a</t>
  </si>
  <si>
    <t>2.1</t>
  </si>
  <si>
    <t>Time Horizon &amp; Liquidity</t>
  </si>
  <si>
    <t>When do you plan to use most of this money?</t>
  </si>
  <si>
    <t>(a)  Less than 1 year</t>
  </si>
  <si>
    <t>2.1-b</t>
  </si>
  <si>
    <t>(b)  1 to 3 years</t>
  </si>
  <si>
    <t>2.1-c</t>
  </si>
  <si>
    <t>(c)  3 to 7 years</t>
  </si>
  <si>
    <t>2.1-d</t>
  </si>
  <si>
    <t>(d)  7 to 15 years</t>
  </si>
  <si>
    <t>2.1-e</t>
  </si>
  <si>
    <t>(e)  More than 15 years</t>
  </si>
  <si>
    <t>2.2-a</t>
  </si>
  <si>
    <t>2.2</t>
  </si>
  <si>
    <t>How many years until you expect to retire (or start drawing on this money)?</t>
  </si>
  <si>
    <t>(a)  Already retired or within 5 years</t>
  </si>
  <si>
    <t>2.2-b</t>
  </si>
  <si>
    <t>(b)  5 to 10 years</t>
  </si>
  <si>
    <t>2.2-c</t>
  </si>
  <si>
    <t>(c)  10 to 20 years</t>
  </si>
  <si>
    <t>2.2-d</t>
  </si>
  <si>
    <t>(d)  20 to 35 years</t>
  </si>
  <si>
    <t>2.2-e</t>
  </si>
  <si>
    <t>(e)  More than 35 years</t>
  </si>
  <si>
    <t>2.3-a</t>
  </si>
  <si>
    <t>2.3</t>
  </si>
  <si>
    <t>If you lost your main source of income, how many months of living expenses could you cover from liquid savings?</t>
  </si>
  <si>
    <t>(a)  Less than 1 month</t>
  </si>
  <si>
    <t>2.3-b</t>
  </si>
  <si>
    <t>(b)  1 to 3 months</t>
  </si>
  <si>
    <t>2.3-c</t>
  </si>
  <si>
    <t>(c)  3 to 6 months</t>
  </si>
  <si>
    <t>2.3-d</t>
  </si>
  <si>
    <t>(d)  6 to 12 months</t>
  </si>
  <si>
    <t>2.3-e</t>
  </si>
  <si>
    <t>(e)  More than 12 months</t>
  </si>
  <si>
    <t>2.4-a</t>
  </si>
  <si>
    <t>2.4</t>
  </si>
  <si>
    <t>Of the money you are investing here, what fraction will you need to touch within the next 3 years?</t>
  </si>
  <si>
    <t>(a)  More than half</t>
  </si>
  <si>
    <t>2.4-b</t>
  </si>
  <si>
    <t>(b)  25% – 50%</t>
  </si>
  <si>
    <t>2.4-c</t>
  </si>
  <si>
    <t>(c)  10% – 25%</t>
  </si>
  <si>
    <t>2.4-d</t>
  </si>
  <si>
    <t>(d)  Less than 10%</t>
  </si>
  <si>
    <t>2.4-e</t>
  </si>
  <si>
    <t>(e)  None</t>
  </si>
  <si>
    <t>2.5-a</t>
  </si>
  <si>
    <t>2.5</t>
  </si>
  <si>
    <t>Do you anticipate any major expenses (home, wedding, tuition, medical) in the next 5 years?</t>
  </si>
  <si>
    <t>(a)  Yes, within 1 year</t>
  </si>
  <si>
    <t>2.5-b</t>
  </si>
  <si>
    <t>(b)  Yes, within 2 – 3 years</t>
  </si>
  <si>
    <t>2.5-c</t>
  </si>
  <si>
    <t>(c)  Yes, within 4 – 5 years</t>
  </si>
  <si>
    <t>2.5-d</t>
  </si>
  <si>
    <t>(d)  No, but possibly after 5 years</t>
  </si>
  <si>
    <t>2.5-e</t>
  </si>
  <si>
    <t>(e)  None anticipated</t>
  </si>
  <si>
    <t>2.6-a</t>
  </si>
  <si>
    <t>2.6</t>
  </si>
  <si>
    <t>For a higher expected return, how long would you be willing to lock up this money with no access?</t>
  </si>
  <si>
    <t>(a)  Not willing to lock up any of it</t>
  </si>
  <si>
    <t>2.6-b</t>
  </si>
  <si>
    <t>(b)  Up to 1 year</t>
  </si>
  <si>
    <t>2.6-c</t>
  </si>
  <si>
    <t>(c)  1 to 3 years</t>
  </si>
  <si>
    <t>2.6-d</t>
  </si>
  <si>
    <t>(d)  3 to 10 years</t>
  </si>
  <si>
    <t>2.6-e</t>
  </si>
  <si>
    <t>(e)  10+ years</t>
  </si>
  <si>
    <t>2.7-a</t>
  </si>
  <si>
    <t>2.7</t>
  </si>
  <si>
    <t>What is this money primarily for?</t>
  </si>
  <si>
    <t>(a)  Emergency or near-term safety net</t>
  </si>
  <si>
    <t>2.7-b</t>
  </si>
  <si>
    <t>(b)  A major purchase within 3 years</t>
  </si>
  <si>
    <t>2.7-c</t>
  </si>
  <si>
    <t>(c)  Medium-term goal (house in 5–10 years)</t>
  </si>
  <si>
    <t>2.7-d</t>
  </si>
  <si>
    <t>(d)  Retirement in 20+ years</t>
  </si>
  <si>
    <t>2.7-e</t>
  </si>
  <si>
    <t>(e)  Legacy / wealth to pass on</t>
  </si>
  <si>
    <t>2.8-a</t>
  </si>
  <si>
    <t>2.8</t>
  </si>
  <si>
    <t>If the market fell sharply, how long could you wait for recovery before the situation would seriously distress you?</t>
  </si>
  <si>
    <t>(a)  I would need my money back within 6 months</t>
  </si>
  <si>
    <t>2.8-b</t>
  </si>
  <si>
    <t>2.8-c</t>
  </si>
  <si>
    <t>(c)  2 to 3 years</t>
  </si>
  <si>
    <t>2.8-d</t>
  </si>
  <si>
    <t>(d)  5 to 7 years</t>
  </si>
  <si>
    <t>2.8-e</t>
  </si>
  <si>
    <t>2.9-a</t>
  </si>
  <si>
    <t>2.9</t>
  </si>
  <si>
    <t>How often will you add new money to this investment?</t>
  </si>
  <si>
    <t>(a)  Never — this is a one-off investment</t>
  </si>
  <si>
    <t>2.9-b</t>
  </si>
  <si>
    <t>(b)  Irregularly, in small amounts</t>
  </si>
  <si>
    <t>2.9-c</t>
  </si>
  <si>
    <t>(c)  Monthly via automatic contributions</t>
  </si>
  <si>
    <t>2.9-d</t>
  </si>
  <si>
    <t>(d)  I will actively build this up over decades</t>
  </si>
  <si>
    <t>2.10-a</t>
  </si>
  <si>
    <t>2.10</t>
  </si>
  <si>
    <t>Do dependents rely on this specific pool of money for near-term needs?</t>
  </si>
  <si>
    <t>(a)  Yes — they rely on it immediately</t>
  </si>
  <si>
    <t>2.10-b</t>
  </si>
  <si>
    <t>(b)  Yes, within a few years</t>
  </si>
  <si>
    <t>2.10-c</t>
  </si>
  <si>
    <t>(c)  Possibly in the future</t>
  </si>
  <si>
    <t>2.10-d</t>
  </si>
  <si>
    <t>(d)  No — this is purely for me / long-term</t>
  </si>
  <si>
    <t>3.1-a</t>
  </si>
  <si>
    <t>3.1</t>
  </si>
  <si>
    <t>Behavioural Loss Reactions</t>
  </si>
  <si>
    <t>Your investment portfolio lost 20% of its value in a single month. You would:</t>
  </si>
  <si>
    <t>(a)  Sell everything to avoid further losses</t>
  </si>
  <si>
    <t>3.1-b</t>
  </si>
  <si>
    <t>(b)  Sell a portion to reduce risk</t>
  </si>
  <si>
    <t>3.1-c</t>
  </si>
  <si>
    <t>(c)  Hold and wait for recovery</t>
  </si>
  <si>
    <t>3.1-d</t>
  </si>
  <si>
    <t>(d)  Buy more at lower prices</t>
  </si>
  <si>
    <t>3.2-a</t>
  </si>
  <si>
    <t>3.2</t>
  </si>
  <si>
    <t>A major crash — your portfolio is down 40% in a year. You would:</t>
  </si>
  <si>
    <t>(a)  Sell everything and move to cash</t>
  </si>
  <si>
    <t>3.2-b</t>
  </si>
  <si>
    <t>(b)  Sell the most volatile holdings</t>
  </si>
  <si>
    <t>3.2-c</t>
  </si>
  <si>
    <t>(c)  Rebalance but stay invested</t>
  </si>
  <si>
    <t>3.2-d</t>
  </si>
  <si>
    <t>(d)  Invest extra savings at the lower prices</t>
  </si>
  <si>
    <t>3.3-a</t>
  </si>
  <si>
    <t>3.3</t>
  </si>
  <si>
    <t>One of your holdings drops 10% in a week on negative news. You would:</t>
  </si>
  <si>
    <t>(a)  Sell immediately</t>
  </si>
  <si>
    <t>3.3-b</t>
  </si>
  <si>
    <t>(b)  Tighten your stop-loss</t>
  </si>
  <si>
    <t>3.3-c</t>
  </si>
  <si>
    <t>(c)  Hold — volatility happens</t>
  </si>
  <si>
    <t>3.3-d</t>
  </si>
  <si>
    <t>(d)  Research further and buy the dip</t>
  </si>
  <si>
    <t>3.4-a</t>
  </si>
  <si>
    <t>3.4</t>
  </si>
  <si>
    <t>Your diversified portfolio returns roughly 0% for 3 straight years while the market averaged 7%. You would:</t>
  </si>
  <si>
    <t>(a)  Dump the strategy and park in bonds</t>
  </si>
  <si>
    <t>3.4-b</t>
  </si>
  <si>
    <t>(b)  Switch to a different advisor or strategy</t>
  </si>
  <si>
    <t>3.4-c</t>
  </si>
  <si>
    <t>(c)  Stick with the plan</t>
  </si>
  <si>
    <t>3.4-d</t>
  </si>
  <si>
    <t>(d)  Double down on the strategy</t>
  </si>
  <si>
    <t>3.5-a</t>
  </si>
  <si>
    <t>3.5</t>
  </si>
  <si>
    <t>A credible analyst predicts markets will crash 30% in the next 6 months. You would:</t>
  </si>
  <si>
    <t>(a)  Sell now and wait in cash</t>
  </si>
  <si>
    <t>3.5-b</t>
  </si>
  <si>
    <t>(b)  Buy defensive assets (gold, treasuries)</t>
  </si>
  <si>
    <t>3.5-c</t>
  </si>
  <si>
    <t>(c)  Ignore — I can't time the market</t>
  </si>
  <si>
    <t>3.5-d</t>
  </si>
  <si>
    <t>(d)  Bet on the crash with short positions or puts</t>
  </si>
  <si>
    <t>3.6-a</t>
  </si>
  <si>
    <t>3.6</t>
  </si>
  <si>
    <t>What is the biggest MONTHLY loss you could tolerate without losing sleep?</t>
  </si>
  <si>
    <t>(a)  0% – 2%</t>
  </si>
  <si>
    <t>3.6-b</t>
  </si>
  <si>
    <t>(b)  2% – 5%</t>
  </si>
  <si>
    <t>3.6-c</t>
  </si>
  <si>
    <t>(c)  5% – 10%</t>
  </si>
  <si>
    <t>3.6-d</t>
  </si>
  <si>
    <t>(d)  10% – 20%</t>
  </si>
  <si>
    <t>3.6-e</t>
  </si>
  <si>
    <t>(e)  Over 20%</t>
  </si>
  <si>
    <t>3.7-a</t>
  </si>
  <si>
    <t>3.7</t>
  </si>
  <si>
    <t>What is the largest 1-YEAR loss you could accept before changing your strategy?</t>
  </si>
  <si>
    <t>(a)  0% – 5%</t>
  </si>
  <si>
    <t>3.7-b</t>
  </si>
  <si>
    <t>(b)  5% – 15%</t>
  </si>
  <si>
    <t>3.7-c</t>
  </si>
  <si>
    <t>(c)  15% – 30%</t>
  </si>
  <si>
    <t>3.7-d</t>
  </si>
  <si>
    <t>(d)  30% – 50%</t>
  </si>
  <si>
    <t>3.7-e</t>
  </si>
  <si>
    <t>(e)  Over 50%</t>
  </si>
  <si>
    <t>3.8-a</t>
  </si>
  <si>
    <t>3.8</t>
  </si>
  <si>
    <t>After a large gain (+50% in one year), you would:</t>
  </si>
  <si>
    <t>(a)  Lock in gains and move to cash</t>
  </si>
  <si>
    <t>3.8-b</t>
  </si>
  <si>
    <t>(b)  Trim position sizes</t>
  </si>
  <si>
    <t>3.8-c</t>
  </si>
  <si>
    <t>(c)  Stay the course</t>
  </si>
  <si>
    <t>3.8-d</t>
  </si>
  <si>
    <t>(d)  Increase risk — ride the winner</t>
  </si>
  <si>
    <t>3.9-a</t>
  </si>
  <si>
    <t>3.9</t>
  </si>
  <si>
    <t>A major geopolitical event (war, trade shock, pandemic) hits markets. You would:</t>
  </si>
  <si>
    <t>(a)  Exit all risk positions until clarity returns</t>
  </si>
  <si>
    <t>3.9-b</t>
  </si>
  <si>
    <t>(b)  Rotate to defensive sectors</t>
  </si>
  <si>
    <t>3.9-c</t>
  </si>
  <si>
    <t>(c)  Hold</t>
  </si>
  <si>
    <t>3.9-d</t>
  </si>
  <si>
    <t>(d)  View it as a buying opportunity</t>
  </si>
  <si>
    <t>3.10-a</t>
  </si>
  <si>
    <t>3.10</t>
  </si>
  <si>
    <t>How often do you check your portfolio?</t>
  </si>
  <si>
    <t>(a)  Multiple times per day</t>
  </si>
  <si>
    <t>3.10-b</t>
  </si>
  <si>
    <t>(b)  Daily</t>
  </si>
  <si>
    <t>3.10-c</t>
  </si>
  <si>
    <t>(c)  Weekly</t>
  </si>
  <si>
    <t>3.10-d</t>
  </si>
  <si>
    <t>(d)  Monthly</t>
  </si>
  <si>
    <t>3.10-e</t>
  </si>
  <si>
    <t>(e)  Quarterly or less often</t>
  </si>
  <si>
    <t>4.1-a</t>
  </si>
  <si>
    <t>4.1</t>
  </si>
  <si>
    <t>Portfolio Allocation Preferences</t>
  </si>
  <si>
    <t>Which of these investment mixes is most appealing to you?</t>
  </si>
  <si>
    <t>(a)  80% cash / 15% bonds / 5% stocks</t>
  </si>
  <si>
    <t>4.1-b</t>
  </si>
  <si>
    <t>(b)  50% cash / 30% bonds / 20% stocks</t>
  </si>
  <si>
    <t>4.1-c</t>
  </si>
  <si>
    <t>(c)  20% cash / 30% bonds / 50% stocks</t>
  </si>
  <si>
    <t>4.1-d</t>
  </si>
  <si>
    <t>(d)  10% cash / 20% bonds / 70% stocks</t>
  </si>
  <si>
    <t>4.1-e</t>
  </si>
  <si>
    <t>(e)  0% cash / 10% bonds / 90% stocks</t>
  </si>
  <si>
    <t>4.2-a</t>
  </si>
  <si>
    <t>4.2</t>
  </si>
  <si>
    <t>If you had to invest 100% in stocks, which of these would you pick?</t>
  </si>
  <si>
    <t>(a)  Only blue-chip domestic stocks</t>
  </si>
  <si>
    <t>4.2-b</t>
  </si>
  <si>
    <t>(b)  Diversified developed-market stocks</t>
  </si>
  <si>
    <t>4.2-c</t>
  </si>
  <si>
    <t>(c)  Mix of developed and emerging markets</t>
  </si>
  <si>
    <t>4.2-d</t>
  </si>
  <si>
    <t>(d)  Overweight emerging markets and small caps</t>
  </si>
  <si>
    <t>4.3-a</t>
  </si>
  <si>
    <t>4.3</t>
  </si>
  <si>
    <t>If forced to hold bonds, what credit quality?</t>
  </si>
  <si>
    <t>(a)  Short-term treasuries / money market only</t>
  </si>
  <si>
    <t>4.3-b</t>
  </si>
  <si>
    <t>(b)  Mix of treasuries and investment-grade corporates</t>
  </si>
  <si>
    <t>4.3-c</t>
  </si>
  <si>
    <t>(c)  Investment-grade with some high-yield</t>
  </si>
  <si>
    <t>4.3-d</t>
  </si>
  <si>
    <t>(d)  High-yield ('junk') and emerging-market debt</t>
  </si>
  <si>
    <t>4.4-a</t>
  </si>
  <si>
    <t>4.4</t>
  </si>
  <si>
    <t>What percentage of your portfolio would you put in alternatives (commodities, real estate, private equity, crypto)?</t>
  </si>
  <si>
    <t>(a)  0%</t>
  </si>
  <si>
    <t>4.4-b</t>
  </si>
  <si>
    <t>(b)  1% – 5%</t>
  </si>
  <si>
    <t>4.4-c</t>
  </si>
  <si>
    <t>(c)  5% – 15%</t>
  </si>
  <si>
    <t>4.4-d</t>
  </si>
  <si>
    <t>(d)  15% – 30%</t>
  </si>
  <si>
    <t>4.4-e</t>
  </si>
  <si>
    <t>(e)  Over 30%</t>
  </si>
  <si>
    <t>4.5-a</t>
  </si>
  <si>
    <t>4.5</t>
  </si>
  <si>
    <t>Would you borrow money to invest?</t>
  </si>
  <si>
    <t>(a)  Never</t>
  </si>
  <si>
    <t>4.5-b</t>
  </si>
  <si>
    <t>(b)  Only modest margin (10% – 20%)</t>
  </si>
  <si>
    <t>4.5-c</t>
  </si>
  <si>
    <t>(c)  Up to 50% margin</t>
  </si>
  <si>
    <t>4.5-d</t>
  </si>
  <si>
    <t>(d)  Yes, aggressively</t>
  </si>
  <si>
    <t>4.6-a</t>
  </si>
  <si>
    <t>4.6</t>
  </si>
  <si>
    <t>What is the maximum percentage of your portfolio you would put in a SINGLE stock?</t>
  </si>
  <si>
    <t>(a)  1% – 2%</t>
  </si>
  <si>
    <t>4.6-b</t>
  </si>
  <si>
    <t>(b)  5%</t>
  </si>
  <si>
    <t>4.6-c</t>
  </si>
  <si>
    <t>(c)  10%</t>
  </si>
  <si>
    <t>4.6-d</t>
  </si>
  <si>
    <t>(d)  25% or more</t>
  </si>
  <si>
    <t>4.7-a</t>
  </si>
  <si>
    <t>4.7</t>
  </si>
  <si>
    <t>What fraction of your equity would you hold OUTSIDE your home country?</t>
  </si>
  <si>
    <t>(a)  0% — home-country only</t>
  </si>
  <si>
    <t>4.7-b</t>
  </si>
  <si>
    <t>(b)  10% – 20%</t>
  </si>
  <si>
    <t>4.7-c</t>
  </si>
  <si>
    <t>(c)  30% – 50%</t>
  </si>
  <si>
    <t>4.7-d</t>
  </si>
  <si>
    <t>(d)  50%+</t>
  </si>
  <si>
    <t>4.8-a</t>
  </si>
  <si>
    <t>4.8</t>
  </si>
  <si>
    <t>Which of these describes your investing preference?</t>
  </si>
  <si>
    <t>(a)  Bank deposits / money market only</t>
  </si>
  <si>
    <t>4.8-b</t>
  </si>
  <si>
    <t>(b)  Diversified index funds only</t>
  </si>
  <si>
    <t>4.8-c</t>
  </si>
  <si>
    <t>(c)  Mix of index funds and individually-picked stocks</t>
  </si>
  <si>
    <t>4.8-d</t>
  </si>
  <si>
    <t>(d)  Picking individual stocks myself</t>
  </si>
  <si>
    <t>4.9-a</t>
  </si>
  <si>
    <t>4.9</t>
  </si>
  <si>
    <t>What cash buffer (as a % of total portfolio) do you like to keep?</t>
  </si>
  <si>
    <t>(a)  50% or more</t>
  </si>
  <si>
    <t>4.9-b</t>
  </si>
  <si>
    <t>4.9-c</t>
  </si>
  <si>
    <t>4.9-d</t>
  </si>
  <si>
    <t>(d)  5% – 10%</t>
  </si>
  <si>
    <t>4.9-e</t>
  </si>
  <si>
    <t>(e)  Less than 5%</t>
  </si>
  <si>
    <t>4.10-a</t>
  </si>
  <si>
    <t>4.10</t>
  </si>
  <si>
    <t>If your portfolio had a 'risk budget', how would you use it?</t>
  </si>
  <si>
    <t>(a)  Minimise all risk — capital preservation</t>
  </si>
  <si>
    <t>4.10-b</t>
  </si>
  <si>
    <t>(b)  Modest risk for a slight return premium</t>
  </si>
  <si>
    <t>4.10-c</t>
  </si>
  <si>
    <t>(c)  Balanced risk / return</t>
  </si>
  <si>
    <t>4.10-d</t>
  </si>
  <si>
    <t>(d)  Take full market risk</t>
  </si>
  <si>
    <t>4.10-e</t>
  </si>
  <si>
    <t>(e)  Beyond market risk — leverage or concentration</t>
  </si>
  <si>
    <t>5.1-a</t>
  </si>
  <si>
    <t>5.1</t>
  </si>
  <si>
    <t>Forced Concentration</t>
  </si>
  <si>
    <t>A relative leaves you a $100,000 inheritance with the stipulation that ALL of it must go into ONE of the following. Which do you pick?</t>
  </si>
  <si>
    <t>(a)  A savings account or money-market fund</t>
  </si>
  <si>
    <t>5.1-b</t>
  </si>
  <si>
    <t>(b)  A mutual fund holding stocks and bonds</t>
  </si>
  <si>
    <t>5.1-c</t>
  </si>
  <si>
    <t>(c)  A portfolio of 15 individual stocks</t>
  </si>
  <si>
    <t>5.1-d</t>
  </si>
  <si>
    <t>(d)  Commodities such as gold, oil or cryptocurrency</t>
  </si>
  <si>
    <t>5.2-a</t>
  </si>
  <si>
    <t>5.2</t>
  </si>
  <si>
    <t>You receive a $20,000 bonus. You would:</t>
  </si>
  <si>
    <t>(a)  Keep it in savings</t>
  </si>
  <si>
    <t>5.2-b</t>
  </si>
  <si>
    <t>(b)  Pay down debt</t>
  </si>
  <si>
    <t>5.2-c</t>
  </si>
  <si>
    <t>(c)  Invest in a balanced fund</t>
  </si>
  <si>
    <t>5.2-d</t>
  </si>
  <si>
    <t>(d)  Buy individual stocks you like</t>
  </si>
  <si>
    <t>5.2-e</t>
  </si>
  <si>
    <t>(e)  Trade options or crypto with it</t>
  </si>
  <si>
    <t>5.3-a</t>
  </si>
  <si>
    <t>5.3</t>
  </si>
  <si>
    <t>Forced to put 100% of $1,000,000 into a single asset class, you pick:</t>
  </si>
  <si>
    <t>(a)  Government bonds</t>
  </si>
  <si>
    <t>5.3-b</t>
  </si>
  <si>
    <t>(b)  Real estate</t>
  </si>
  <si>
    <t>5.3-c</t>
  </si>
  <si>
    <t>(c)  Diversified stock index</t>
  </si>
  <si>
    <t>5.3-d</t>
  </si>
  <si>
    <t>(d)  Gold or commodities</t>
  </si>
  <si>
    <t>5.3-e</t>
  </si>
  <si>
    <t>(e)  Bitcoin / crypto</t>
  </si>
  <si>
    <t>5.4-a</t>
  </si>
  <si>
    <t>5.4</t>
  </si>
  <si>
    <t>You must pick ONE investment for the next 10 years, no changes allowed:</t>
  </si>
  <si>
    <t>(a)  3% guaranteed return, no variation</t>
  </si>
  <si>
    <t>5.4-b</t>
  </si>
  <si>
    <t>(b)  5% average, ±5% annual swing</t>
  </si>
  <si>
    <t>5.4-c</t>
  </si>
  <si>
    <t>(c)  8% average, ±15% annual swing</t>
  </si>
  <si>
    <t>5.4-d</t>
  </si>
  <si>
    <t>(d)  12% average, ±30% annual swing</t>
  </si>
  <si>
    <t>5.5-a</t>
  </si>
  <si>
    <t>5.5</t>
  </si>
  <si>
    <t>A mystery benefactor gives you $50,000 that MUST be invested in ONE of:</t>
  </si>
  <si>
    <t>(a)  Certificates of deposit / savings</t>
  </si>
  <si>
    <t>5.5-b</t>
  </si>
  <si>
    <t>(b)  Broad stock-market index</t>
  </si>
  <si>
    <t>5.5-c</t>
  </si>
  <si>
    <t>(c)  Sector fund (biotech or tech)</t>
  </si>
  <si>
    <t>5.5-d</t>
  </si>
  <si>
    <t>(d)  A single high-growth startup</t>
  </si>
  <si>
    <t>5.6-a</t>
  </si>
  <si>
    <t>5.6</t>
  </si>
  <si>
    <t>Your employer offers to let you take your annual bonus 100% in company stock with a 10% discount. You would take:</t>
  </si>
  <si>
    <t>(a)  0% in company stock</t>
  </si>
  <si>
    <t>5.6-b</t>
  </si>
  <si>
    <t>(b)  Up to 25% in company stock</t>
  </si>
  <si>
    <t>5.6-c</t>
  </si>
  <si>
    <t>(c)  50% – 75% in company stock</t>
  </si>
  <si>
    <t>5.6-d</t>
  </si>
  <si>
    <t>(d)  The entire bonus in company stock</t>
  </si>
  <si>
    <t>5.7-a</t>
  </si>
  <si>
    <t>5.7</t>
  </si>
  <si>
    <t>If your retirement account had to be 100% in ONE option, which?</t>
  </si>
  <si>
    <t>(a)  Stable-value or money-market fund</t>
  </si>
  <si>
    <t>5.7-b</t>
  </si>
  <si>
    <t>(b)  Balanced fund 40% stocks / 60% bonds</t>
  </si>
  <si>
    <t>5.7-c</t>
  </si>
  <si>
    <t>(c)  Total stock-market index</t>
  </si>
  <si>
    <t>5.7-d</t>
  </si>
  <si>
    <t>(d)  Growth / technology fund</t>
  </si>
  <si>
    <t>5.8-a</t>
  </si>
  <si>
    <t>5.8</t>
  </si>
  <si>
    <t>You get access to a hedge fund (5-year lock-up, aggressive strategy). You would invest:</t>
  </si>
  <si>
    <t>(a)  Nothing</t>
  </si>
  <si>
    <t>5.8-b</t>
  </si>
  <si>
    <t>(b)  5% of my portfolio</t>
  </si>
  <si>
    <t>5.8-c</t>
  </si>
  <si>
    <t>(c)  15% of my portfolio</t>
  </si>
  <si>
    <t>5.8-d</t>
  </si>
  <si>
    <t>(d)  30% or more of my portfolio</t>
  </si>
  <si>
    <t>5.9-a</t>
  </si>
  <si>
    <t>5.9</t>
  </si>
  <si>
    <t>If you had to put $50,000 into ONE stock for 5 years:</t>
  </si>
  <si>
    <t>(a)  A dividend-paying utility</t>
  </si>
  <si>
    <t>5.9-b</t>
  </si>
  <si>
    <t>(b)  A diversified conglomerate</t>
  </si>
  <si>
    <t>5.9-c</t>
  </si>
  <si>
    <t>(c)  A fast-growing tech company</t>
  </si>
  <si>
    <t>5.9-d</t>
  </si>
  <si>
    <t>(d)  A pre-IPO startup</t>
  </si>
  <si>
    <t>5.10-a</t>
  </si>
  <si>
    <t>5.10</t>
  </si>
  <si>
    <t>For retirement income, you would prefer:</t>
  </si>
  <si>
    <t>(a)  Annuity with guaranteed lifetime income</t>
  </si>
  <si>
    <t>5.10-b</t>
  </si>
  <si>
    <t>(b)  A bond ladder</t>
  </si>
  <si>
    <t>5.10-c</t>
  </si>
  <si>
    <t>(c)  Withdrawals from a diversified portfolio</t>
  </si>
  <si>
    <t>5.10-d</t>
  </si>
  <si>
    <t>(d)  Living off stock dividends and continued growth</t>
  </si>
  <si>
    <t>6.1-a</t>
  </si>
  <si>
    <t>6.1</t>
  </si>
  <si>
    <t>Self-Description &amp; Personality</t>
  </si>
  <si>
    <t>In general, your friends and family would describe you as:</t>
  </si>
  <si>
    <t>(a)  A real risk avoider</t>
  </si>
  <si>
    <t>6.1-b</t>
  </si>
  <si>
    <t>(b)  Cautious</t>
  </si>
  <si>
    <t>6.1-c</t>
  </si>
  <si>
    <t>(c)  Willing to take risks after doing research</t>
  </si>
  <si>
    <t>6.1-d</t>
  </si>
  <si>
    <t>(d)  A real gambler</t>
  </si>
  <si>
    <t>6.2-a</t>
  </si>
  <si>
    <t>6.2</t>
  </si>
  <si>
    <t>If you sold a stock early and then watched it double, you would feel:</t>
  </si>
  <si>
    <t>(a)  Devastated — I wish I'd never invested at all</t>
  </si>
  <si>
    <t>6.2-b</t>
  </si>
  <si>
    <t>(b)  Disappointed but OK</t>
  </si>
  <si>
    <t>6.2-c</t>
  </si>
  <si>
    <t>(c)  Happy with the gain I did make</t>
  </si>
  <si>
    <t>6.2-d</t>
  </si>
  <si>
    <t>(d)  Philosophical — lesson learned for next time</t>
  </si>
  <si>
    <t>6.3-a</t>
  </si>
  <si>
    <t>6.3</t>
  </si>
  <si>
    <t>In a card game, after losing 5 hands in a row, you would:</t>
  </si>
  <si>
    <t>(a)  Quit</t>
  </si>
  <si>
    <t>6.3-b</t>
  </si>
  <si>
    <t>(b)  Play smaller stakes</t>
  </si>
  <si>
    <t>6.3-c</t>
  </si>
  <si>
    <t>(c)  Keep playing normally</t>
  </si>
  <si>
    <t>6.3-d</t>
  </si>
  <si>
    <t>(d)  Double down to recover losses</t>
  </si>
  <si>
    <t>6.4-a</t>
  </si>
  <si>
    <t>6.4</t>
  </si>
  <si>
    <t>Which of these have you done in the past 5 years? (Pick the boldest.)</t>
  </si>
  <si>
    <t>(a)  None of the below</t>
  </si>
  <si>
    <t>6.4-b</t>
  </si>
  <si>
    <t>(b)  Changed jobs for better pay</t>
  </si>
  <si>
    <t>6.4-c</t>
  </si>
  <si>
    <t>(c)  Travelled solo to a new country</t>
  </si>
  <si>
    <t>6.4-d</t>
  </si>
  <si>
    <t>(d)  Started my own business</t>
  </si>
  <si>
    <t>6.4-e</t>
  </si>
  <si>
    <t>(e)  Moved abroad or left a stable career for something risky</t>
  </si>
  <si>
    <t>6.5-a</t>
  </si>
  <si>
    <t>6.5</t>
  </si>
  <si>
    <t>Which word comes to mind first when you hear 'risk'?</t>
  </si>
  <si>
    <t>(a)  Loss</t>
  </si>
  <si>
    <t>6.5-b</t>
  </si>
  <si>
    <t>(b)  Uncertainty</t>
  </si>
  <si>
    <t>6.5-c</t>
  </si>
  <si>
    <t>(c)  Opportunity</t>
  </si>
  <si>
    <t>6.5-d</t>
  </si>
  <si>
    <t>(d)  Thrill</t>
  </si>
  <si>
    <t>6.6-a</t>
  </si>
  <si>
    <t>6.6</t>
  </si>
  <si>
    <t>Which statement matches your outlook best?</t>
  </si>
  <si>
    <t>(a)  A penny saved is a penny earned</t>
  </si>
  <si>
    <t>6.6-b</t>
  </si>
  <si>
    <t>(b)  Slow and steady wins the race</t>
  </si>
  <si>
    <t>6.6-c</t>
  </si>
  <si>
    <t>(c)  No risk, no reward</t>
  </si>
  <si>
    <t>6.6-d</t>
  </si>
  <si>
    <t>(d)  Fortune favours the bold</t>
  </si>
  <si>
    <t>6.7-a</t>
  </si>
  <si>
    <t>6.7</t>
  </si>
  <si>
    <t>Someone pitches an investment that 'can't lose'. Your first thought is:</t>
  </si>
  <si>
    <t>(a)  Probably a scam — hard pass</t>
  </si>
  <si>
    <t>6.7-b</t>
  </si>
  <si>
    <t>(b)  Too good to be true — I'll dig deeper</t>
  </si>
  <si>
    <t>6.7-c</t>
  </si>
  <si>
    <t>(c)  Worth a careful look</t>
  </si>
  <si>
    <t>6.7-d</t>
  </si>
  <si>
    <t>(d)  How much can I put in?</t>
  </si>
  <si>
    <t>6.8-a</t>
  </si>
  <si>
    <t>6.8</t>
  </si>
  <si>
    <t>When making investment decisions, you:</t>
  </si>
  <si>
    <t>(a)  Stick with what I know is safe</t>
  </si>
  <si>
    <t>6.8-b</t>
  </si>
  <si>
    <t>(b)  Research thoroughly, then invest</t>
  </si>
  <si>
    <t>6.8-c</t>
  </si>
  <si>
    <t>(c)  Mix research with gut feel</t>
  </si>
  <si>
    <t>6.8-d</t>
  </si>
  <si>
    <t>(d)  Trust my instincts</t>
  </si>
  <si>
    <t>6.9-a</t>
  </si>
  <si>
    <t>6.9</t>
  </si>
  <si>
    <t>Your family culture around money is:</t>
  </si>
  <si>
    <t>(a)  Keep it all in savings / CDs</t>
  </si>
  <si>
    <t>6.9-b</t>
  </si>
  <si>
    <t>(b)  Invest in blue-chips and bonds</t>
  </si>
  <si>
    <t>6.9-c</t>
  </si>
  <si>
    <t>(c)  Mix conservative with some aggressive positions</t>
  </si>
  <si>
    <t>6.9-d</t>
  </si>
  <si>
    <t>(d)  Speculate and take big bets</t>
  </si>
  <si>
    <t>6.10-a</t>
  </si>
  <si>
    <t>6.10</t>
  </si>
  <si>
    <t>When you see major changes in the economy, you:</t>
  </si>
  <si>
    <t>(a)  Stick with what worked before</t>
  </si>
  <si>
    <t>6.10-b</t>
  </si>
  <si>
    <t>(b)  Make small, cautious adjustments</t>
  </si>
  <si>
    <t>6.10-c</t>
  </si>
  <si>
    <t>(c)  Adapt thoughtfully</t>
  </si>
  <si>
    <t>6.10-d</t>
  </si>
  <si>
    <t>(d)  Aggressively seize new opportunities</t>
  </si>
  <si>
    <t>7.1-a</t>
  </si>
  <si>
    <t>7.1</t>
  </si>
  <si>
    <t>Experience &amp; Knowledge</t>
  </si>
  <si>
    <t>How comfortable are you investing in stocks or stock mutual funds?</t>
  </si>
  <si>
    <t>(a)  Not at all comfortable</t>
  </si>
  <si>
    <t>7.1-b</t>
  </si>
  <si>
    <t>(b)  Somewhat comfortable</t>
  </si>
  <si>
    <t>7.1-c</t>
  </si>
  <si>
    <t>(c)  Very comfortable</t>
  </si>
  <si>
    <t>7.2-a</t>
  </si>
  <si>
    <t>7.2</t>
  </si>
  <si>
    <t>How long have you invested in financial markets?</t>
  </si>
  <si>
    <t>7.2-b</t>
  </si>
  <si>
    <t>(b)  Less than 1 year</t>
  </si>
  <si>
    <t>7.2-c</t>
  </si>
  <si>
    <t>(c)  1 – 5 years</t>
  </si>
  <si>
    <t>7.2-d</t>
  </si>
  <si>
    <t>(d)  5 – 15 years</t>
  </si>
  <si>
    <t>7.2-e</t>
  </si>
  <si>
    <t>(e)  15+ years</t>
  </si>
  <si>
    <t>7.3-a</t>
  </si>
  <si>
    <t>7.3</t>
  </si>
  <si>
    <t>How many significant market downturns (20%+ decline) have you invested through?</t>
  </si>
  <si>
    <t>(a)  None</t>
  </si>
  <si>
    <t>7.3-b</t>
  </si>
  <si>
    <t>(b)  1</t>
  </si>
  <si>
    <t>7.3-c</t>
  </si>
  <si>
    <t>(c)  2 – 3</t>
  </si>
  <si>
    <t>7.3-d</t>
  </si>
  <si>
    <t>(d)  4 or more</t>
  </si>
  <si>
    <t>7.4-a</t>
  </si>
  <si>
    <t>7.4</t>
  </si>
  <si>
    <t>Which of these have you personally invested in? (Pick your broadest exposure.)</t>
  </si>
  <si>
    <t>(a)  Only savings accounts / CDs</t>
  </si>
  <si>
    <t>7.4-b</t>
  </si>
  <si>
    <t>(b)  Plus bonds and bond funds</t>
  </si>
  <si>
    <t>7.4-c</t>
  </si>
  <si>
    <t>(c)  Plus stocks and stock funds</t>
  </si>
  <si>
    <t>7.4-d</t>
  </si>
  <si>
    <t>(d)  Plus individual stocks, options, or commodities</t>
  </si>
  <si>
    <t>7.4-e</t>
  </si>
  <si>
    <t>(e)  Plus crypto, leverage, or alternatives</t>
  </si>
  <si>
    <t>7.5-a</t>
  </si>
  <si>
    <t>7.5</t>
  </si>
  <si>
    <t>How would you rate your personal-finance and investing knowledge?</t>
  </si>
  <si>
    <t>(a)  Not knowledgeable at all</t>
  </si>
  <si>
    <t>7.5-b</t>
  </si>
  <si>
    <t>(b)  Basic</t>
  </si>
  <si>
    <t>7.5-c</t>
  </si>
  <si>
    <t>(c)  Moderate</t>
  </si>
  <si>
    <t>7.5-d</t>
  </si>
  <si>
    <t>(d)  Advanced</t>
  </si>
  <si>
    <t>7.5-e</t>
  </si>
  <si>
    <t>(e)  Expert (professional level)</t>
  </si>
  <si>
    <t>7.6-a</t>
  </si>
  <si>
    <t>7.6</t>
  </si>
  <si>
    <t>When you hear 'annual volatility is 15%', you think:</t>
  </si>
  <si>
    <t>(a)  Sounds dangerous — not for me</t>
  </si>
  <si>
    <t>7.6-b</t>
  </si>
  <si>
    <t>(b)  I'd need to understand more</t>
  </si>
  <si>
    <t>7.6-c</t>
  </si>
  <si>
    <t>(c)  Normal for a diversified stock portfolio</t>
  </si>
  <si>
    <t>7.6-d</t>
  </si>
  <si>
    <t>(d)  Lower than I'd be comfortable with</t>
  </si>
  <si>
    <t>7.7-a</t>
  </si>
  <si>
    <t>7.7</t>
  </si>
  <si>
    <t>Experience with margin or leverage:</t>
  </si>
  <si>
    <t>(a)  Never used it</t>
  </si>
  <si>
    <t>7.7-b</t>
  </si>
  <si>
    <t>(b)  Tried once, didn't like it</t>
  </si>
  <si>
    <t>7.7-c</t>
  </si>
  <si>
    <t>(c)  Use it occasionally</t>
  </si>
  <si>
    <t>7.7-d</t>
  </si>
  <si>
    <t>(d)  Use it regularly</t>
  </si>
  <si>
    <t>7.8-a</t>
  </si>
  <si>
    <t>7.8</t>
  </si>
  <si>
    <t>Experience with options, futures, or other derivatives:</t>
  </si>
  <si>
    <t>(a)  None — I don't understand them</t>
  </si>
  <si>
    <t>7.8-b</t>
  </si>
  <si>
    <t>(b)  Understand but don't use</t>
  </si>
  <si>
    <t>7.8-c</t>
  </si>
  <si>
    <t>(c)  Sold covered calls or cash-secured puts</t>
  </si>
  <si>
    <t>7.8-d</t>
  </si>
  <si>
    <t>(d)  Actively trade options or futures</t>
  </si>
  <si>
    <t>7.9-a</t>
  </si>
  <si>
    <t>7.9</t>
  </si>
  <si>
    <t>Experience with picking individual stocks:</t>
  </si>
  <si>
    <t>(a)  No — I use funds only</t>
  </si>
  <si>
    <t>7.9-b</t>
  </si>
  <si>
    <t>(b)  A few, for fun</t>
  </si>
  <si>
    <t>7.9-c</t>
  </si>
  <si>
    <t>(c)  I maintain a portfolio of 5 – 20 stocks</t>
  </si>
  <si>
    <t>7.9-d</t>
  </si>
  <si>
    <t>(d)  I actively trade individual stocks</t>
  </si>
  <si>
    <t>7.10-a</t>
  </si>
  <si>
    <t>7.10</t>
  </si>
  <si>
    <t>When you receive conflicting investment advice, you:</t>
  </si>
  <si>
    <t>(a)  Default to the most conservative advice</t>
  </si>
  <si>
    <t>7.10-b</t>
  </si>
  <si>
    <t>(b)  Ask more experts until there is consensus</t>
  </si>
  <si>
    <t>7.10-c</t>
  </si>
  <si>
    <t>(c)  Pick what fits my own research</t>
  </si>
  <si>
    <t>7.10-d</t>
  </si>
  <si>
    <t>(d)  Follow my own judgment regardless</t>
  </si>
  <si>
    <t>8.1-a</t>
  </si>
  <si>
    <t>8.1</t>
  </si>
  <si>
    <t>Goals &amp; Purpose</t>
  </si>
  <si>
    <t>What is the primary goal of this investment?</t>
  </si>
  <si>
    <t>(a)  Preserve what I have</t>
  </si>
  <si>
    <t>8.1-b</t>
  </si>
  <si>
    <t>(b)  Steady income</t>
  </si>
  <si>
    <t>8.1-c</t>
  </si>
  <si>
    <t>(c)  Grow wealth for long-term goals</t>
  </si>
  <si>
    <t>8.1-d</t>
  </si>
  <si>
    <t>(d)  Build significant wealth</t>
  </si>
  <si>
    <t>8.1-e</t>
  </si>
  <si>
    <t>(e)  Maximise growth — get rich</t>
  </si>
  <si>
    <t>8.2-a</t>
  </si>
  <si>
    <t>8.2</t>
  </si>
  <si>
    <t>What is your minimum acceptable REAL return (after inflation)?</t>
  </si>
  <si>
    <t>(a)  Just beating inflation is enough</t>
  </si>
  <si>
    <t>8.2-b</t>
  </si>
  <si>
    <t>(b)  2% – 3% above inflation</t>
  </si>
  <si>
    <t>8.2-c</t>
  </si>
  <si>
    <t>(c)  4% – 6% above inflation</t>
  </si>
  <si>
    <t>8.2-d</t>
  </si>
  <si>
    <t>(d)  7%+ above inflation</t>
  </si>
  <si>
    <t>8.3-a</t>
  </si>
  <si>
    <t>8.3</t>
  </si>
  <si>
    <t>What lifestyle do you want in retirement?</t>
  </si>
  <si>
    <t>(a)  Modest — cover essentials only</t>
  </si>
  <si>
    <t>8.3-b</t>
  </si>
  <si>
    <t>(b)  Comfortable — moderate spending</t>
  </si>
  <si>
    <t>8.3-c</t>
  </si>
  <si>
    <t>(c)  Generous — travel and hobbies</t>
  </si>
  <si>
    <t>8.3-d</t>
  </si>
  <si>
    <t>(d)  Luxurious</t>
  </si>
  <si>
    <t>8.4-a</t>
  </si>
  <si>
    <t>8.4</t>
  </si>
  <si>
    <t>Your intergenerational plan:</t>
  </si>
  <si>
    <t>(a)  No plan — spend it all down</t>
  </si>
  <si>
    <t>8.4-b</t>
  </si>
  <si>
    <t>(b)  Leave a modest inheritance</t>
  </si>
  <si>
    <t>8.4-c</t>
  </si>
  <si>
    <t>(c)  Leave a substantial inheritance</t>
  </si>
  <si>
    <t>8.4-d</t>
  </si>
  <si>
    <t>(d)  Build generational wealth</t>
  </si>
  <si>
    <t>8.5-a</t>
  </si>
  <si>
    <t>8.5</t>
  </si>
  <si>
    <t>What annual return do you expect or need from this portfolio?</t>
  </si>
  <si>
    <t>(a)  0% – 3% (capital preservation)</t>
  </si>
  <si>
    <t>8.5-b</t>
  </si>
  <si>
    <t>(b)  3% – 5% (income)</t>
  </si>
  <si>
    <t>8.5-c</t>
  </si>
  <si>
    <t>(c)  5% – 8% (balanced)</t>
  </si>
  <si>
    <t>8.5-d</t>
  </si>
  <si>
    <t>(d)  8% – 12% (growth)</t>
  </si>
  <si>
    <t>8.5-e</t>
  </si>
  <si>
    <t>(e)  12%+ (aggressive growth)</t>
  </si>
  <si>
    <t>8.6-a</t>
  </si>
  <si>
    <t>8.6</t>
  </si>
  <si>
    <t>In 10 years, which outcome would you prefer? (All start at $100.)</t>
  </si>
  <si>
    <t>(a)  $100 → $120 (small real gain)</t>
  </si>
  <si>
    <t>8.6-b</t>
  </si>
  <si>
    <t>(b)  $100 → $180 (moderate growth)</t>
  </si>
  <si>
    <t>8.6-c</t>
  </si>
  <si>
    <t>(c)  $100 → $250 (strong growth)</t>
  </si>
  <si>
    <t>8.6-d</t>
  </si>
  <si>
    <t>(d)  $100 → $400, but you risked going to $60</t>
  </si>
  <si>
    <t>8.7-a</t>
  </si>
  <si>
    <t>8.7</t>
  </si>
  <si>
    <t>Are you pursuing Financial Independence / Early Retirement (FIRE)?</t>
  </si>
  <si>
    <t>(a)  No — I have a steady long-term plan</t>
  </si>
  <si>
    <t>8.7-b</t>
  </si>
  <si>
    <t>(b)  Maybe — modest acceleration</t>
  </si>
  <si>
    <t>8.7-c</t>
  </si>
  <si>
    <t>(c)  Yes — pushing hard</t>
  </si>
  <si>
    <t>8.7-d</t>
  </si>
  <si>
    <t>(d)  Aggressively — willing to take big risks for early exit</t>
  </si>
  <si>
    <t>8.8-a</t>
  </si>
  <si>
    <t>8.8</t>
  </si>
  <si>
    <t>Once you hit your 'enough' number, you would:</t>
  </si>
  <si>
    <t>(a)  De-risk immediately to preserve it</t>
  </si>
  <si>
    <t>8.8-b</t>
  </si>
  <si>
    <t>(b)  De-risk gradually over a few years</t>
  </si>
  <si>
    <t>8.8-c</t>
  </si>
  <si>
    <t>(c)  Maintain my current allocation</t>
  </si>
  <si>
    <t>8.8-d</t>
  </si>
  <si>
    <t>(d)  Keep risking to build beyond enough</t>
  </si>
  <si>
    <t>8.9-a</t>
  </si>
  <si>
    <t>8.9</t>
  </si>
  <si>
    <t>You view investing primarily as:</t>
  </si>
  <si>
    <t>(a)  Strict wealth protection</t>
  </si>
  <si>
    <t>8.9-b</t>
  </si>
  <si>
    <t>(b)  Beating inflation</t>
  </si>
  <si>
    <t>8.9-c</t>
  </si>
  <si>
    <t>(c)  Beating the market</t>
  </si>
  <si>
    <t>8.9-d</t>
  </si>
  <si>
    <t>(d)  A path to life-changing wealth</t>
  </si>
  <si>
    <t>8.10-a</t>
  </si>
  <si>
    <t>8.10</t>
  </si>
  <si>
    <t>What annual return would you accept in exchange for total peace of mind?</t>
  </si>
  <si>
    <t>(a)  2% – 3% for total peace</t>
  </si>
  <si>
    <t>8.10-b</t>
  </si>
  <si>
    <t>(b)  4% – 5% with occasional worries</t>
  </si>
  <si>
    <t>8.10-c</t>
  </si>
  <si>
    <t>(c)  6% – 8% with real volatility</t>
  </si>
  <si>
    <t>8.10-d</t>
  </si>
  <si>
    <t>(d)  I'm fine with losing sleep for higher returns</t>
  </si>
  <si>
    <t>9.1-a</t>
  </si>
  <si>
    <t>9.1</t>
  </si>
  <si>
    <t>Market Event Scenarios</t>
  </si>
  <si>
    <t>Leading indicators suggest a recession is likely in 6 – 12 months. You would:</t>
  </si>
  <si>
    <t>(a)  Move to cash now</t>
  </si>
  <si>
    <t>9.1-b</t>
  </si>
  <si>
    <t>(b)  Reduce equity exposure</t>
  </si>
  <si>
    <t>9.1-c</t>
  </si>
  <si>
    <t>9.1-d</t>
  </si>
  <si>
    <t>(d)  Buy defensive stocks at a discount</t>
  </si>
  <si>
    <t>9.2-a</t>
  </si>
  <si>
    <t>9.2</t>
  </si>
  <si>
    <t>The central bank has just raised rates sharply. You would:</t>
  </si>
  <si>
    <t>(a)  Move to short-term cash equivalents</t>
  </si>
  <si>
    <t>9.2-b</t>
  </si>
  <si>
    <t>(b)  Rotate into floating-rate bonds</t>
  </si>
  <si>
    <t>9.2-c</t>
  </si>
  <si>
    <t>9.2-d</t>
  </si>
  <si>
    <t>(d)  Buy long-duration bonds (contrarian)</t>
  </si>
  <si>
    <t>9.3-a</t>
  </si>
  <si>
    <t>9.3</t>
  </si>
  <si>
    <t>Inflation is running at 8% and rising. You would:</t>
  </si>
  <si>
    <t>(a)  Switch to TIPS / short-duration bonds</t>
  </si>
  <si>
    <t>9.3-b</t>
  </si>
  <si>
    <t>(b)  Increase commodity or real-asset exposure</t>
  </si>
  <si>
    <t>9.3-c</t>
  </si>
  <si>
    <t>(c)  Maintain equity exposure</t>
  </si>
  <si>
    <t>9.3-d</t>
  </si>
  <si>
    <t>(d)  Borrow to buy more hard assets</t>
  </si>
  <si>
    <t>9.4-a</t>
  </si>
  <si>
    <t>9.4</t>
  </si>
  <si>
    <t>A major war or geopolitical event hits headlines. You would:</t>
  </si>
  <si>
    <t>(a)  Go to cash, gold, treasuries</t>
  </si>
  <si>
    <t>9.4-b</t>
  </si>
  <si>
    <t>9.4-c</t>
  </si>
  <si>
    <t>(c)  Ignore — I can't predict events</t>
  </si>
  <si>
    <t>9.4-d</t>
  </si>
  <si>
    <t>(d)  Invest more — panic creates opportunity</t>
  </si>
  <si>
    <t>9.5-a</t>
  </si>
  <si>
    <t>9.5</t>
  </si>
  <si>
    <t>Signs of a bubble appear in the sector you're invested in (e.g., tech). You would:</t>
  </si>
  <si>
    <t>(a)  Sell completely</t>
  </si>
  <si>
    <t>9.5-b</t>
  </si>
  <si>
    <t>(b)  Trim back significantly</t>
  </si>
  <si>
    <t>9.5-c</t>
  </si>
  <si>
    <t>(c)  Stay — I can't time the top</t>
  </si>
  <si>
    <t>9.5-d</t>
  </si>
  <si>
    <t>(d)  Ride it until it cracks</t>
  </si>
  <si>
    <t>9.6-a</t>
  </si>
  <si>
    <t>9.6</t>
  </si>
  <si>
    <t>Your home currency drops 20% against the USD in a month. You would:</t>
  </si>
  <si>
    <t>(a)  Move all savings to stable foreign currencies</t>
  </si>
  <si>
    <t>9.6-b</t>
  </si>
  <si>
    <t>(b)  Increase USD-denominated asset exposure</t>
  </si>
  <si>
    <t>9.6-c</t>
  </si>
  <si>
    <t>(c)  Hold current allocation</t>
  </si>
  <si>
    <t>9.6-d</t>
  </si>
  <si>
    <t>(d)  Buy local assets at the discount</t>
  </si>
  <si>
    <t>9.7-a</t>
  </si>
  <si>
    <t>9.7</t>
  </si>
  <si>
    <t>Crypto is up 300% this year — everyone around you is making money. You would:</t>
  </si>
  <si>
    <t>(a)  Avoid — classic mania</t>
  </si>
  <si>
    <t>9.7-b</t>
  </si>
  <si>
    <t>(b)  Put 1% – 2% as a lottery-ticket hedge</t>
  </si>
  <si>
    <t>9.7-c</t>
  </si>
  <si>
    <t>(c)  Invest 5% – 10% to participate</t>
  </si>
  <si>
    <t>9.7-d</t>
  </si>
  <si>
    <t>(d)  Go big — don't want to miss out</t>
  </si>
  <si>
    <t>9.8-a</t>
  </si>
  <si>
    <t>9.8</t>
  </si>
  <si>
    <t>Housing prices in your area are up 40% in 2 years. You would:</t>
  </si>
  <si>
    <t>(a)  Stay in cash and watch</t>
  </si>
  <si>
    <t>9.8-b</t>
  </si>
  <si>
    <t>(b)  Stick with my existing plan</t>
  </si>
  <si>
    <t>9.8-c</t>
  </si>
  <si>
    <t>(c)  Consider buying before prices rise more</t>
  </si>
  <si>
    <t>9.8-d</t>
  </si>
  <si>
    <t>(d)  Leverage into more properties</t>
  </si>
  <si>
    <t>9.9-a</t>
  </si>
  <si>
    <t>9.9</t>
  </si>
  <si>
    <t>Headlines about a major bank collapse. You would:</t>
  </si>
  <si>
    <t>(a)  Withdraw cash and spread it across banks</t>
  </si>
  <si>
    <t>9.9-b</t>
  </si>
  <si>
    <t>(b)  Check deposit insurance coverage, stay put</t>
  </si>
  <si>
    <t>9.9-c</t>
  </si>
  <si>
    <t>(c)  Business as usual</t>
  </si>
  <si>
    <t>9.9-d</t>
  </si>
  <si>
    <t>(d)  Buy bank stocks at the dip</t>
  </si>
  <si>
    <t>9.10-a</t>
  </si>
  <si>
    <t>9.10</t>
  </si>
  <si>
    <t>A major political upset changes economic policy direction. You would:</t>
  </si>
  <si>
    <t>(a)  Move assets out of the country</t>
  </si>
  <si>
    <t>9.10-b</t>
  </si>
  <si>
    <t>(b)  Reduce risk exposure</t>
  </si>
  <si>
    <t>9.10-c</t>
  </si>
  <si>
    <t>(c)  Wait and see</t>
  </si>
  <si>
    <t>9.10-d</t>
  </si>
  <si>
    <t>(d)  Look for opportunities in the change</t>
  </si>
  <si>
    <t>10.1-a</t>
  </si>
  <si>
    <t>10.1</t>
  </si>
  <si>
    <t>Situational Finance</t>
  </si>
  <si>
    <t>How stable is your main source of income?</t>
  </si>
  <si>
    <t>(a)  Very unstable (freelance, commission, volatile)</t>
  </si>
  <si>
    <t>10.1-b</t>
  </si>
  <si>
    <t>(b)  Somewhat variable</t>
  </si>
  <si>
    <t>10.1-c</t>
  </si>
  <si>
    <t>(c)  Stable (tenured or long-term contract)</t>
  </si>
  <si>
    <t>10.1-d</t>
  </si>
  <si>
    <t>(d)  Very stable with guaranteed benefits</t>
  </si>
  <si>
    <t>10.2-a</t>
  </si>
  <si>
    <t>10.2</t>
  </si>
  <si>
    <t>Your income relative to expenses:</t>
  </si>
  <si>
    <t>(a)  Struggling to meet expenses</t>
  </si>
  <si>
    <t>10.2-b</t>
  </si>
  <si>
    <t>(b)  Just covering expenses</t>
  </si>
  <si>
    <t>10.2-c</t>
  </si>
  <si>
    <t>(c)  Comfortable, some savings</t>
  </si>
  <si>
    <t>10.2-d</t>
  </si>
  <si>
    <t>(d)  High savings rate</t>
  </si>
  <si>
    <t>10.2-e</t>
  </si>
  <si>
    <t>(e)  Income far exceeds needs</t>
  </si>
  <si>
    <t>10.3-a</t>
  </si>
  <si>
    <t>10.3</t>
  </si>
  <si>
    <t>How much non-mortgage debt do you carry?</t>
  </si>
  <si>
    <t>(a)  High credit-card debt</t>
  </si>
  <si>
    <t>10.3-b</t>
  </si>
  <si>
    <t>(b)  Some debt, manageable</t>
  </si>
  <si>
    <t>10.3-c</t>
  </si>
  <si>
    <t>(c)  Minimal debt</t>
  </si>
  <si>
    <t>10.3-d</t>
  </si>
  <si>
    <t>(d)  Debt-free</t>
  </si>
  <si>
    <t>10.4-a</t>
  </si>
  <si>
    <t>10.4</t>
  </si>
  <si>
    <t>Your age range:</t>
  </si>
  <si>
    <t>(a)  Under 25</t>
  </si>
  <si>
    <t>10.4-b</t>
  </si>
  <si>
    <t>(b)  25 – 40</t>
  </si>
  <si>
    <t>10.4-c</t>
  </si>
  <si>
    <t>(c)  40 – 55</t>
  </si>
  <si>
    <t>10.4-d</t>
  </si>
  <si>
    <t>(d)  55 – 65</t>
  </si>
  <si>
    <t>10.4-e</t>
  </si>
  <si>
    <t>(e)  Over 65</t>
  </si>
  <si>
    <t>10.5-a</t>
  </si>
  <si>
    <t>10.5</t>
  </si>
  <si>
    <t>Your health and longevity expectation:</t>
  </si>
  <si>
    <t>(a)  Concerning — uncertain healthspan</t>
  </si>
  <si>
    <t>10.5-b</t>
  </si>
  <si>
    <t>(b)  Average</t>
  </si>
  <si>
    <t>10.5-c</t>
  </si>
  <si>
    <t>(c)  Good — active into my 70s</t>
  </si>
  <si>
    <t>10.5-d</t>
  </si>
  <si>
    <t>(d)  Long-lived family — expect to live long</t>
  </si>
  <si>
    <t>10.6-a</t>
  </si>
  <si>
    <t>10.6</t>
  </si>
  <si>
    <t>How well-insured are you (health, life, disability)?</t>
  </si>
  <si>
    <t>(a)  Minimal or no insurance</t>
  </si>
  <si>
    <t>10.6-b</t>
  </si>
  <si>
    <t>(b)  Basic coverage</t>
  </si>
  <si>
    <t>10.6-c</t>
  </si>
  <si>
    <t>(c)  Adequate coverage</t>
  </si>
  <si>
    <t>10.6-d</t>
  </si>
  <si>
    <t>(d)  Comprehensive coverage</t>
  </si>
  <si>
    <t>10.7-a</t>
  </si>
  <si>
    <t>10.7</t>
  </si>
  <si>
    <t>In the past 3 years, have you experienced a significant financial shock (job loss, major medical expense, divorce, bankruptcy)?</t>
  </si>
  <si>
    <t>(a)  Yes — still recovering</t>
  </si>
  <si>
    <t>10.7-b</t>
  </si>
  <si>
    <t>(b)  Yes — mostly recovered</t>
  </si>
  <si>
    <t>10.7-c</t>
  </si>
  <si>
    <t>(c)  No, but finances have been volatile</t>
  </si>
  <si>
    <t>10.7-d</t>
  </si>
  <si>
    <t>(d)  No, stable finances throughout</t>
  </si>
  <si>
    <t>10.8-a</t>
  </si>
  <si>
    <t>10.8</t>
  </si>
  <si>
    <t>Real estate as a fraction of your total net worth:</t>
  </si>
  <si>
    <t>(a)  More than 75%</t>
  </si>
  <si>
    <t>10.8-b</t>
  </si>
  <si>
    <t>(b)  50% – 75%</t>
  </si>
  <si>
    <t>10.8-c</t>
  </si>
  <si>
    <t>(c)  25% – 50%</t>
  </si>
  <si>
    <t>10.8-d</t>
  </si>
  <si>
    <t>(d)  Less than 25%</t>
  </si>
  <si>
    <t>10.9-a</t>
  </si>
  <si>
    <t>10.9</t>
  </si>
  <si>
    <t>Besides your main job, do you have other income streams?</t>
  </si>
  <si>
    <t>10.9-b</t>
  </si>
  <si>
    <t>(b)  Some rental or side-hustle income</t>
  </si>
  <si>
    <t>10.9-c</t>
  </si>
  <si>
    <t>(c)  Multiple substantial streams</t>
  </si>
  <si>
    <t>10.9-d</t>
  </si>
  <si>
    <t>(d)  Passive income covers my expenses</t>
  </si>
  <si>
    <t>10.10-a</t>
  </si>
  <si>
    <t>10.10</t>
  </si>
  <si>
    <t>How many people financially depend on your income?</t>
  </si>
  <si>
    <t>(a)  Many — spouse, children, parents</t>
  </si>
  <si>
    <t>10.10-b</t>
  </si>
  <si>
    <t>(b)  Spouse and young children</t>
  </si>
  <si>
    <t>10.10-c</t>
  </si>
  <si>
    <t>(c)  Spouse only</t>
  </si>
  <si>
    <t>10.10-d</t>
  </si>
  <si>
    <t>(d)  No one depends on my income</t>
  </si>
  <si>
    <t>Scoring — weighted mean · rescaled to [1, 10]</t>
  </si>
  <si>
    <t>Category Weights  (yellow = editable)</t>
  </si>
  <si>
    <t>Weight</t>
  </si>
  <si>
    <t>Tier — justification</t>
  </si>
  <si>
    <t>Tier A — utility-derived / revealed preference</t>
  </si>
  <si>
    <t>Tier C — situational moderator</t>
  </si>
  <si>
    <t>Tier B — behavioural preference</t>
  </si>
  <si>
    <t>Results  (live — recompute when weights or answers change)</t>
  </si>
  <si>
    <t>Final Risk Aversion  A  (rescaled to [1, 10])</t>
  </si>
  <si>
    <t>Investor Profile</t>
  </si>
  <si>
    <t>Raw weighted mean  =  Σ(w·impl·ans) / Σ(w·ans)</t>
  </si>
  <si>
    <t>raw_min  =  Σ(w·min·ans) / Σ(w·ans)</t>
  </si>
  <si>
    <t>raw_max  =  Σ(w·max·ans) / Σ(w·ans)</t>
  </si>
  <si>
    <t>Questions answered</t>
  </si>
  <si>
    <t>Per-question breakdown (live formulas — audit trail)</t>
  </si>
  <si>
    <t>Impl A</t>
  </si>
  <si>
    <t>Ans</t>
  </si>
  <si>
    <t>Min A</t>
  </si>
  <si>
    <t>Max A</t>
  </si>
  <si>
    <t>w·min·ans</t>
  </si>
  <si>
    <t>w·max·ans</t>
  </si>
  <si>
    <t>w·impl·ans</t>
  </si>
  <si>
    <t>w·ans</t>
  </si>
  <si>
    <t>TOTALS</t>
  </si>
  <si>
    <t>Portfolio Optimizer — maximise  U = r − ½·A·σ²  via Solver</t>
  </si>
  <si>
    <t>Fund</t>
  </si>
  <si>
    <t>Return (μᵢ)</t>
  </si>
  <si>
    <t>Annualised Covariance Matrix  (from Part 1)</t>
  </si>
  <si>
    <t>Amova SG Bond</t>
  </si>
  <si>
    <t>BK World Gold</t>
  </si>
  <si>
    <t>ES Asian Bond</t>
  </si>
  <si>
    <t>ES Asian Equity</t>
  </si>
  <si>
    <t>Fid World</t>
  </si>
  <si>
    <t>Fid America</t>
  </si>
  <si>
    <t>Fid EM</t>
  </si>
  <si>
    <t>LionGlobal SG</t>
  </si>
  <si>
    <t>Manulife AP REIT</t>
  </si>
  <si>
    <t>PIMCO Income</t>
  </si>
  <si>
    <t>Σ Weights (must = 1)</t>
  </si>
  <si>
    <t>Portfolio Variance  σ²</t>
  </si>
  <si>
    <t>Portfolio Std Dev  σ</t>
  </si>
  <si>
    <t>Portfolio Return  r = Σ wᵢ μᵢ</t>
  </si>
  <si>
    <t>Risk Aversion  A  (from Scoring sheet)</t>
  </si>
  <si>
    <t>★ Utility  U = r − ½·A·σ²   (SOLVER MAXIMISES)</t>
  </si>
  <si>
    <t>▶  OPTIMIZE  (long-only,  wᵢ ≥ 0)</t>
  </si>
  <si>
    <t>▶  OPTIMIZE WITH SHORT-SELLING  (wᵢ unrestricted)</t>
  </si>
  <si>
    <t>Sharpe Ratio  (r − r_f) / σ</t>
  </si>
  <si>
    <t>$100,000 → expected  in 1 year</t>
  </si>
  <si>
    <t>Solver setup (via VBA):
    Maximise:   B19  (Utility)
    By changing:   B3:B11  (9 decision variables;  B12 = 1 − SUM(B3:B11) is dependent)
    Long-only constraint:    B3:B12 ≥ 0
    Short-selling constraint:   (none; weights free)
    Engine:   GRG Nonlinear</t>
  </si>
  <si>
    <t>Part 1 Data — 10 funds, annualised returns and covariance matrix</t>
  </si>
  <si>
    <t>Source: Part1_Efficient_Frontier.xlsx → 3_Statistics sheet</t>
  </si>
  <si>
    <t>Risk-free rate  r_f</t>
  </si>
  <si>
    <t>3.5%</t>
  </si>
  <si>
    <t>Ann. Return (μᵢ)</t>
  </si>
  <si>
    <t>Ann. Std Dev (σᵢ)</t>
  </si>
  <si>
    <t>Annualised Covariance Matrix (Σ)</t>
  </si>
  <si>
    <t>These values feed the Optimizer tab via cell references. Edit them here if you update Part 1 with a new data-run.</t>
  </si>
  <si>
    <t>v4 Quick-Start</t>
  </si>
  <si>
    <t>This workbook wraps the Part 2 risk-aversion questionnaire, a VBA randomiser, and a Solver-driven portfolio optimiser into one file.</t>
  </si>
  <si>
    <t>Workflow:</t>
  </si>
  <si>
    <t xml:space="preserve">  1.  Open the file in Excel. Click 'Enable Content' to allow macros.</t>
  </si>
  <si>
    <t xml:space="preserve">  2.  On the Questionnaire tab, press Alt+F8 → run  RandomizeQuestions.</t>
  </si>
  <si>
    <t xml:space="preserve">       10 random questions (one per category) fill rows 9-18.</t>
  </si>
  <si>
    <t xml:space="preserve">  3.  Pick an answer letter from the dropdown in column F for each row.</t>
  </si>
  <si>
    <t xml:space="preserve">       Your final A and Investor Profile appear below and on the Scoring sheet.</t>
  </si>
  <si>
    <t xml:space="preserve">  4.  Go to the Optimizer tab. Press Alt+F8 → run  RunOptimizer.</t>
  </si>
  <si>
    <t xml:space="preserve">       Solver maximises U = r − ½·A·σ² by finding the optimal 10-fund weights.</t>
  </si>
  <si>
    <t xml:space="preserve">  5.  The optimised weights appear in B3:B12, variance in B15, return in B17, and the utility score in B19.</t>
  </si>
  <si>
    <t>To reshuffle with a different set of 10 questions, run  RandomizeQuestions  again.</t>
  </si>
  <si>
    <t>To start over, run  ClearQuestions.</t>
  </si>
  <si>
    <t>One-time VBA setup (required the first time)</t>
  </si>
  <si>
    <t>This file ships with a VBA module stub inherited from Robo-Example.xlsm. You need to replace it with v4's macros. Do this once:</t>
  </si>
  <si>
    <t xml:space="preserve">  1.  Press  Alt+F11  to open the VBA editor.</t>
  </si>
  <si>
    <t xml:space="preserve">  2.  In the Project Explorer (top-left), right-click each of the old modules (Sheet1, Sheet2, Sheet3 — the ones with dates/names from Robo-Example) and choose 'View Code', then delete all the old code inside.</t>
  </si>
  <si>
    <t xml:space="preserve">  3.  File &gt; Import File…  →  select  v4_macros.bas  (shipped alongside this workbook).</t>
  </si>
  <si>
    <t xml:space="preserve">  4.  Tools &gt; References…  →  tick  'Solver'  (last in the list — if missing, in Excel choose File &gt; Options &gt; Add-ins &gt; Excel Add-ins &gt; Solver Add-in).</t>
  </si>
  <si>
    <t xml:space="preserve">  5.  Save the workbook (Ctrl+S). Close and re-open so Excel registers the new macros.</t>
  </si>
  <si>
    <t>Optional — add real buttons:</t>
  </si>
  <si>
    <t xml:space="preserve">  1.  Developer tab &gt; Insert &gt; Button (Form Control) &gt; draw over the 'RANDOMIZE' cell on the Questionnaire tab &gt; assign to RandomizeQuestions.</t>
  </si>
  <si>
    <t xml:space="preserve">  2.  Repeat for 'CLEAR' → ClearQuestions  and  'RUN SOLVER' on the Optimizer tab → RunOptimizer.</t>
  </si>
  <si>
    <t xml:space="preserve">  3.  If the Developer tab is not visible: File &gt; Options &gt; Customize Ribbon &gt; tick Developer.</t>
  </si>
  <si>
    <t>Risk-Aversion Scoring Recipe</t>
  </si>
  <si>
    <t>Each answered question contributes an implied-A value (from the Question Bank) weighted by its category's tier weight. The Scoring sheet computes:</t>
  </si>
  <si>
    <t xml:space="preserve">    raw_A   = Σ(w · implied_A · ans)  /  Σ(w · ans)</t>
  </si>
  <si>
    <t xml:space="preserve">    raw_min = Σ(w · min_A · ans)      /  Σ(w · ans)</t>
  </si>
  <si>
    <t xml:space="preserve">    raw_max = Σ(w · max_A · ans)      /  Σ(w · ans)</t>
  </si>
  <si>
    <t xml:space="preserve">    A_final = 1 + 9 · (raw_A − raw_min) / (raw_max − raw_min),  clamped to [1, 10].</t>
  </si>
  <si>
    <t>Category weights (editable on Scoring sheet, yellow cells):</t>
  </si>
  <si>
    <t xml:space="preserve">    Explicit Gambles                      1.00</t>
  </si>
  <si>
    <t xml:space="preserve">    Time Horizon &amp; Liquidity              0.40</t>
  </si>
  <si>
    <t xml:space="preserve">    Behavioural Loss Reactions            0.70</t>
  </si>
  <si>
    <t xml:space="preserve">    Portfolio Allocation Preferences      0.70</t>
  </si>
  <si>
    <t xml:space="preserve">    Forced Concentration                  1.00</t>
  </si>
  <si>
    <t xml:space="preserve">    Self-Description &amp; Personality        0.70</t>
  </si>
  <si>
    <t xml:space="preserve">    Experience &amp; Knowledge                0.40</t>
  </si>
  <si>
    <t xml:space="preserve">    Goals &amp; Purpose                       0.70</t>
  </si>
  <si>
    <t xml:space="preserve">    Market Event Scenarios                0.70</t>
  </si>
  <si>
    <t xml:space="preserve">    Situational Finance                   0.40</t>
  </si>
  <si>
    <t>Implied-A values for Q1.1 (Barsky income gamble) are utility-derived from the CRRA indifference equation  λ = (2 − 2^(1−A))^(1/(1−A))  following Hanna, Gutter &amp; Fan (2001). Other items are calibrated ordinally consistent with Grable-Lytton (1999); rescaling to [1, 10] uses the achievable-range anchor.</t>
  </si>
  <si>
    <t>Portfolio Optimization (Optimizer tab)</t>
  </si>
  <si>
    <t>The optimizer maximises the mean-variance utility</t>
  </si>
  <si>
    <t xml:space="preserve">    U = r − ½·A·σ²</t>
  </si>
  <si>
    <t>where</t>
  </si>
  <si>
    <t xml:space="preserve">    r  = Σ wᵢ·μᵢ           (portfolio expected return)</t>
  </si>
  <si>
    <t xml:space="preserve">    σ² = Σᵢ Σⱼ wᵢ·wⱼ·Σᵢⱼ    (portfolio variance)</t>
  </si>
  <si>
    <t xml:space="preserve">    A  = risk-aversion coefficient from Scoring sheet</t>
  </si>
  <si>
    <t>Decision variables:  B3:B12  (10 fund weights)</t>
  </si>
  <si>
    <t>Constraints:         B3:B12 ≥ 0  (no short-selling)    B13 = Σwᵢ = 1  (fully invested)</t>
  </si>
  <si>
    <t>Solver engine:       GRG Nonlinear</t>
  </si>
  <si>
    <t>Fund returns μᵢ (col C) and the 10×10 annualised covariance matrix (cols E:N) are pulled from the Part 1 Data tab, which mirrors Part1_Efficient_Frontier.xlsx → 3_Statistics. Update Part 1 Data and everything recomputes.</t>
  </si>
  <si>
    <t>Lower-risk-aversion investors (A ≈ 1–3) will receive concentrated high-return portfolios (e.g. heavy weight on BK World Gold, LionGlobal SG). Higher-A investors (A ≥ 7) get portfolios closer to the GMVP — concentrated in Amova SG Bond and PIMCO Income.</t>
  </si>
  <si>
    <t>Known Limitations</t>
  </si>
  <si>
    <t>•  Only Q1.1 is fully utility-derived; the remaining 99 items use heuristic or Grable-Lytton-consistent A-values. The rescale step maps them back into the utility scale on aggregate.</t>
  </si>
  <si>
    <t>•  Category tier weights (1.0 / 0.7 / 0.4) are literature-informed but not empirically regressed. A follow-up study with observed portfolio allocations could recalibrate.</t>
  </si>
  <si>
    <t>•  Solver may return a corner solution (weight = 1.0 on a single fund) when one fund strictly dominates under mean-variance utility at the user's A. That is mathematically correct but economically unrealistic; real advisers impose a diversification floor (e.g. max single-fund weight ≤ 40%). Add a Solver constraint to enforce this.</t>
  </si>
  <si>
    <t>References</t>
  </si>
  <si>
    <t>Barsky, Juster, Kimball &amp; Shapiro (1997). Preference Parameters and Behavioral Heterogeneity. QJE 112(2).</t>
  </si>
  <si>
    <t>Bodie, Kane &amp; Marcus. Investments, Ch. 6 — Risk Aversion and Capital Allocation.</t>
  </si>
  <si>
    <t>Grable &amp; Lytton (1999). Financial Risk Tolerance Revisited. Financial Services Review 8.</t>
  </si>
  <si>
    <t>Hanna, Gutter &amp; Fan (2001). A Measure of Risk Tolerance Based on Economic Theory. FC&amp;P 12(2).</t>
  </si>
  <si>
    <t>Kuzniak, Rabbani, Heo, Ruiz-Menjivar &amp; Grable (2015). The GL Risk-Tolerance Scale: 15-Year Retrospective. FSR 24.</t>
  </si>
  <si>
    <t>Merton (1969). Lifetime Portfolio Selection Under Uncertainty. REStat 51(3).</t>
  </si>
  <si>
    <t>Samuelson (1969). Lifetime Portfolio Selection by Dynamic Stochastic Programming. REStat 51(3).</t>
  </si>
  <si>
    <t>QID Bounds — precomputed Min/Max implied A per question</t>
  </si>
  <si>
    <t>Scoring's Min A / Max A columns VLOOKUP this table by QID. Computed at build time from question_bank.py.</t>
  </si>
  <si>
    <t>Part 1: Efficient Frontier Analysis — Portfolio Optimization</t>
  </si>
  <si>
    <t>10 Funds | FSMOne Historical NAV | 5-Year Monthly Data (Apr 2021 – Apr 2026) | Risk-free rate: 3.5%</t>
  </si>
  <si>
    <t>Key Results</t>
  </si>
  <si>
    <t>10 Funds — Asset Classes &amp; Performance</t>
  </si>
  <si>
    <t>Funds Selected</t>
  </si>
  <si>
    <t>10</t>
  </si>
  <si>
    <t>Ann. Return</t>
  </si>
  <si>
    <t>Observations (Monthly)</t>
  </si>
  <si>
    <t>60</t>
  </si>
  <si>
    <t>SG Bond</t>
  </si>
  <si>
    <t>Risk-Free Rate (rf)</t>
  </si>
  <si>
    <t>Commodity (Gold)</t>
  </si>
  <si>
    <t>GMVP Return (w/ Short Selling)</t>
  </si>
  <si>
    <t>3.28%</t>
  </si>
  <si>
    <t>Asian Bond</t>
  </si>
  <si>
    <t>GMVP Std Dev (w/ Short Selling)</t>
  </si>
  <si>
    <t>3.61%</t>
  </si>
  <si>
    <t>Asian Equity</t>
  </si>
  <si>
    <t>GMVP Sharpe (w/ Short Selling)</t>
  </si>
  <si>
    <t>-0.0621</t>
  </si>
  <si>
    <t>Global Equity</t>
  </si>
  <si>
    <t>GMVP Return (Long-Only)</t>
  </si>
  <si>
    <t>2.47%</t>
  </si>
  <si>
    <t>US Equity</t>
  </si>
  <si>
    <t>GMVP Std Dev (Long-Only)</t>
  </si>
  <si>
    <t>4.73%</t>
  </si>
  <si>
    <t>Emerging Mkts</t>
  </si>
  <si>
    <t>GMVP Sharpe (Long-Only)</t>
  </si>
  <si>
    <t>-0.2176</t>
  </si>
  <si>
    <t>SG Equity</t>
  </si>
  <si>
    <t>Tangency Portfolio Return</t>
  </si>
  <si>
    <t>18.59%</t>
  </si>
  <si>
    <t>Asia Pacific REITs</t>
  </si>
  <si>
    <t>Tangency Portfolio Std Dev</t>
  </si>
  <si>
    <t>18.89%</t>
  </si>
  <si>
    <t>Global Bond</t>
  </si>
  <si>
    <t>Tangency Portfolio Sharpe</t>
  </si>
  <si>
    <t>0.7990</t>
  </si>
  <si>
    <t>Monthly NAV Prices (Month-End) — 5-Year Window</t>
  </si>
  <si>
    <t>Source: FSMOne Historical NAV Export  |  Currency: As denominated (SGD/USD)  |  Resampled to month-end</t>
  </si>
  <si>
    <t>Date</t>
  </si>
  <si>
    <t>Full Name →</t>
  </si>
  <si>
    <t>Amova SG Bond (SGD)</t>
  </si>
  <si>
    <t>BlackRock World Gold (USD)</t>
  </si>
  <si>
    <t>Eastspring Asian Bond (USD)</t>
  </si>
  <si>
    <t>Eastspring Asian Equity (USD)</t>
  </si>
  <si>
    <t>Fidelity World (SGD)</t>
  </si>
  <si>
    <t>Fidelity America (USD)</t>
  </si>
  <si>
    <t>Fidelity Emerging Mkts (USD)</t>
  </si>
  <si>
    <t>LionGlobal SG Trust (USD)</t>
  </si>
  <si>
    <t>Manulife AP REIT (USD)</t>
  </si>
  <si>
    <t>PIMCO Income (USD)</t>
  </si>
  <si>
    <t>2021-04-30</t>
  </si>
  <si>
    <t>2021-05-31</t>
  </si>
  <si>
    <t>2021-06-30</t>
  </si>
  <si>
    <t>2021-07-31</t>
  </si>
  <si>
    <t>2021-08-31</t>
  </si>
  <si>
    <t>2021-09-30</t>
  </si>
  <si>
    <t>2021-10-31</t>
  </si>
  <si>
    <t>2021-11-30</t>
  </si>
  <si>
    <t>2021-12-31</t>
  </si>
  <si>
    <t>2022-01-31</t>
  </si>
  <si>
    <t>2022-02-28</t>
  </si>
  <si>
    <t>2022-03-31</t>
  </si>
  <si>
    <t>2022-04-30</t>
  </si>
  <si>
    <t>2022-05-31</t>
  </si>
  <si>
    <t>2022-06-30</t>
  </si>
  <si>
    <t>2022-07-31</t>
  </si>
  <si>
    <t>2022-08-31</t>
  </si>
  <si>
    <t>2022-09-30</t>
  </si>
  <si>
    <t>2022-10-31</t>
  </si>
  <si>
    <t>2022-11-30</t>
  </si>
  <si>
    <t>2022-12-31</t>
  </si>
  <si>
    <t>2023-01-31</t>
  </si>
  <si>
    <t>2023-02-28</t>
  </si>
  <si>
    <t>2023-03-31</t>
  </si>
  <si>
    <t>2023-04-30</t>
  </si>
  <si>
    <t>2023-05-31</t>
  </si>
  <si>
    <t>2023-06-30</t>
  </si>
  <si>
    <t>2023-07-31</t>
  </si>
  <si>
    <t>2023-08-31</t>
  </si>
  <si>
    <t>2023-09-30</t>
  </si>
  <si>
    <t>2023-10-31</t>
  </si>
  <si>
    <t>2023-11-30</t>
  </si>
  <si>
    <t>2023-12-31</t>
  </si>
  <si>
    <t>2024-01-31</t>
  </si>
  <si>
    <t>2024-02-29</t>
  </si>
  <si>
    <t>2024-03-31</t>
  </si>
  <si>
    <t>2024-04-30</t>
  </si>
  <si>
    <t>2024-05-31</t>
  </si>
  <si>
    <t>2024-06-30</t>
  </si>
  <si>
    <t>2024-07-31</t>
  </si>
  <si>
    <t>2024-08-31</t>
  </si>
  <si>
    <t>2024-09-30</t>
  </si>
  <si>
    <t>2024-10-31</t>
  </si>
  <si>
    <t>2024-11-30</t>
  </si>
  <si>
    <t>2024-12-31</t>
  </si>
  <si>
    <t>2025-01-31</t>
  </si>
  <si>
    <t>2025-02-28</t>
  </si>
  <si>
    <t>2025-03-31</t>
  </si>
  <si>
    <t>2025-04-30</t>
  </si>
  <si>
    <t>2025-05-31</t>
  </si>
  <si>
    <t>2025-06-30</t>
  </si>
  <si>
    <t>2025-07-31</t>
  </si>
  <si>
    <t>2025-08-31</t>
  </si>
  <si>
    <t>2025-09-30</t>
  </si>
  <si>
    <t>2025-10-31</t>
  </si>
  <si>
    <t>2025-11-30</t>
  </si>
  <si>
    <t>2025-12-31</t>
  </si>
  <si>
    <t>2026-01-31</t>
  </si>
  <si>
    <t>2026-02-28</t>
  </si>
  <si>
    <t>2026-03-31</t>
  </si>
  <si>
    <t>2026-04-30</t>
  </si>
  <si>
    <t>Monthly Returns (Rt = Pt/Pt-1 − 1)</t>
  </si>
  <si>
    <t>Portfolio Statistics — Annualized (5-Year Monthly Data)</t>
  </si>
  <si>
    <t>Annualized Return (μ)</t>
  </si>
  <si>
    <t>Annualized Std Dev (σ)</t>
  </si>
  <si>
    <t>Sharpe Ratio</t>
  </si>
  <si>
    <t>Min Monthly Ret</t>
  </si>
  <si>
    <t>Max Monthly Ret</t>
  </si>
  <si>
    <t>Annualized Covariance Matrix (Σ)</t>
  </si>
  <si>
    <t>Correlation Matrix (ρ)</t>
  </si>
  <si>
    <t>Efficient Frontier — WITH Short Selling Allowed</t>
  </si>
  <si>
    <t>GMVP: Return = 3.28%   Std Dev = 3.61%   Sharpe = -0.0621</t>
  </si>
  <si>
    <t>Point</t>
  </si>
  <si>
    <t>Target Return (μ_p)</t>
  </si>
  <si>
    <t>Portfolio Std Dev (σ_p)</t>
  </si>
  <si>
    <t>Region</t>
  </si>
  <si>
    <t>GMVP Weight</t>
  </si>
  <si>
    <t>Inefficient</t>
  </si>
  <si>
    <t>Efficient</t>
  </si>
  <si>
    <t>Efficient Frontier — NO Short Selling (Long-Only)</t>
  </si>
  <si>
    <t>GMVP: μ=2.47%  σ=4.73%  |  Tangency: μ=18.59%  σ=18.89%  Sharpe=0.7990</t>
  </si>
  <si>
    <t>Tangency Weight</t>
  </si>
  <si>
    <t>Chart Data</t>
  </si>
  <si>
    <t>σ (SS)</t>
  </si>
  <si>
    <t>μ (SS)</t>
  </si>
  <si>
    <t>σ (NS)</t>
  </si>
  <si>
    <t>μ (NS)</t>
  </si>
  <si>
    <t>σ (Funds)</t>
  </si>
  <si>
    <t>μ (Funds)</t>
  </si>
  <si>
    <t>σ (Key)</t>
  </si>
  <si>
    <t>μ (Key)</t>
  </si>
  <si>
    <t>MVP Calculator — Minimum Variance Portfolio Given Target Std Dev</t>
  </si>
  <si>
    <t>Part 1: Efficient Frontier Analysis  |  10 Funds  |  FSMOne Historical NAV  |  5-Year Monthly Data (Apr 2021 – Apr 2026)</t>
  </si>
  <si>
    <t>① INPUT — Target Standard Deviation</t>
  </si>
  <si>
    <t>Target Annualised Std Dev (σ*):</t>
  </si>
  <si>
    <t>Target σ for the MVP solver</t>
  </si>
  <si>
    <t>Short Selling Allowed?</t>
  </si>
  <si>
    <t>Type "Yes" to allow short selling, "No" for long-only</t>
  </si>
  <si>
    <t>Risk-Free Rate (rf):</t>
  </si>
  <si>
    <t>From Summary sheet (3.5% p.a.)</t>
  </si>
  <si>
    <t>② RESULTS — Portfolio Statistics</t>
  </si>
  <si>
    <t>Portfolio Return (μ_p)</t>
  </si>
  <si>
    <t>Weighted average of fund returns</t>
  </si>
  <si>
    <t>Target input σ</t>
  </si>
  <si>
    <t>Portfolio Variance (σ²_p)</t>
  </si>
  <si>
    <t>σ² = wᵀΣw</t>
  </si>
  <si>
    <t>(μ_p − rf) / σ_p</t>
  </si>
  <si>
    <t>③ OPTIMAL WEIGHTS — Fund Allocation</t>
  </si>
  <si>
    <t>Ann. Return (μ)</t>
  </si>
  <si>
    <t>TOTAL</t>
  </si>
  <si>
    <t xml:space="preserve">④ ANNUALISED COVARIANCE MATRIX (Σ) </t>
  </si>
  <si>
    <t>Fund \ Fund</t>
  </si>
  <si>
    <t>Amova
SG Bond</t>
  </si>
  <si>
    <t>BK World
Gold</t>
  </si>
  <si>
    <t>ES Asian
Bond</t>
  </si>
  <si>
    <t>ES Asian
Equity</t>
  </si>
  <si>
    <t>Fid
World</t>
  </si>
  <si>
    <t>Fid
America</t>
  </si>
  <si>
    <t>LionGlobal
SG</t>
  </si>
  <si>
    <t>Manulife
AP REIT</t>
  </si>
  <si>
    <t>PIMCO
Income</t>
  </si>
  <si>
    <t>(a)  Not at all comfortable   →  A = 8.00
(b)  Somewhat comfortable   →  A = 5.00
(c)  Very comfortable   →  A = 2.50</t>
  </si>
  <si>
    <t>(a)  Lock in gains and move to cash   →  A = 8.00
(b)  Trim position sizes   →  A = 5.00
(c)  Stay the course   →  A = 3.00
(d)  Increase risk — ride the winner   →  A = 1.00</t>
  </si>
  <si>
    <t>(a)  Stick with what worked before   →  A = 7.00
(b)  Make small, cautious adjustments   →  A = 5.00
(c)  Adapt thoughtfully   →  A = 3.00
(d)  Aggressively seize new opportunities   →  A = 1.00</t>
  </si>
  <si>
    <t>(a)  Less than $2,000 (sell cheap)   →  A = 9.00
(b)  $2,000 – $3,500   →  A = 6.00
(c)  $3,500 – $4,500   →  A = 4.00
(d)  $4,500 – $5,000   →  A = 2.00
(e)  I would only sell above $5,000   →  A = 1.00</t>
  </si>
  <si>
    <t>(a)  50% or more   →  A = 9.00
(b)  25% – 50%   →  A = 7.00
(c)  10% – 25%   →  A = 5.00
(d)  5% – 10%   →  A = 3.00
(e)  Less than 5%   →  A = 1.50</t>
  </si>
  <si>
    <t>(a)  Stable-value or money-market fund   →  A = 8.00
(b)  Balanced fund 40% stocks / 60% bonds   →  A = 6.00
(c)  Total stock-market index   →  A = 3.00
(d)  Growth / technology fund   →  A = 1.50</t>
  </si>
  <si>
    <t>(a)  Less than 1 month   →  A = 8.00
(b)  1 to 3 months   →  A = 6.00
(c)  3 to 6 months   →  A = 4.00
(d)  6 to 12 months   →  A = 2.50
(e)  More than 12 months   →  A = 1.50</t>
  </si>
  <si>
    <t>(a)  Sell completely   →  A = 8.00
(b)  Trim back significantly   →  A = 5.00
(c)  Stay — I can't time the top   →  A = 3.00
(d)  Ride it until it cracks   →  A = 1.00</t>
  </si>
  <si>
    <t>(a)  Very unstable (freelance, commission, volatile)   →  A = 7.00
(b)  Somewhat variable   →  A = 5.00
(c)  Stable (tenured or long-term contract)   →  A = 4.00
(d)  Very stable with guaranteed benefits   →  A = 3.00</t>
  </si>
  <si>
    <t>(a)  2% – 3% for total peace   →  A = 9.00
(b)  4% – 5% with occasional worries   →  A = 6.00
(c)  6% – 8% with real volatility   →  A = 4.00
(d)  I'm fine with losing sleep for higher returns   →  A = 1.50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</si>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</sst>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"/>
    <numFmt numFmtId="166" formatCode="0.00000"/>
    <numFmt numFmtId="167" formatCode="&quot;$&quot;#,##0"/>
    <numFmt numFmtId="168" formatCode="0.000000"/>
    <numFmt numFmtId="169" formatCode="0.0000%"/>
  </numFmts>
  <fonts count="49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</font>
    <font>
      <i/>
      <sz val="11"/>
      <name val="Calibri"/>
      <family val="2"/>
    </font>
    <font>
      <b/>
      <sz val="12"/>
      <color rgb="FF1F4E79"/>
      <name val="Calibri"/>
      <family val="2"/>
    </font>
    <font>
      <b/>
      <sz val="12"/>
      <color rgb="FF8B0000"/>
      <name val="Calibri"/>
      <family val="2"/>
    </font>
    <font>
      <i/>
      <sz val="9"/>
      <color rgb="FF808080"/>
      <name val="Calibri"/>
      <family val="2"/>
    </font>
    <font>
      <b/>
      <sz val="11"/>
      <color rgb="FFFFFFFF"/>
      <name val="Calibri"/>
      <family val="2"/>
    </font>
    <font>
      <b/>
      <sz val="12"/>
      <name val="Calibri"/>
      <family val="2"/>
    </font>
    <font>
      <b/>
      <sz val="14"/>
      <color rgb="FF1F4E79"/>
      <name val="Calibri"/>
      <family val="2"/>
    </font>
    <font>
      <b/>
      <sz val="11"/>
      <color rgb="FF1F4E79"/>
      <name val="Calibri"/>
      <family val="2"/>
    </font>
    <font>
      <i/>
      <sz val="10"/>
      <color rgb="FF595959"/>
      <name val="Calibri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b/>
      <sz val="12"/>
      <color rgb="FFFFFFFF"/>
      <name val="Calibri"/>
      <family val="2"/>
    </font>
    <font>
      <b/>
      <sz val="16"/>
      <color rgb="FF1F4E79"/>
      <name val="Calibri"/>
      <family val="2"/>
    </font>
    <font>
      <b/>
      <sz val="15"/>
      <color rgb="FFFFFFFF"/>
      <name val="Calibri"/>
      <family val="2"/>
    </font>
    <font>
      <b/>
      <i/>
      <sz val="11"/>
      <name val="Calibri"/>
      <family val="2"/>
    </font>
    <font>
      <b/>
      <sz val="13"/>
      <color rgb="FFFFFFFF"/>
      <name val="Calibri"/>
      <family val="2"/>
    </font>
    <font>
      <i/>
      <sz val="11"/>
      <name val="Calibri"/>
      <family val="2"/>
    </font>
    <font>
      <b/>
      <sz val="9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charset val="1"/>
    </font>
    <font>
      <b/>
      <sz val="14"/>
      <color rgb="FFFFFFFF"/>
      <name val="Arial"/>
      <family val="2"/>
    </font>
    <font>
      <i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name val="Arial"/>
      <family val="2"/>
    </font>
    <font>
      <b/>
      <sz val="11"/>
      <color rgb="FF1F3864"/>
      <name val="Arial"/>
      <family val="2"/>
    </font>
    <font>
      <b/>
      <sz val="10"/>
      <color rgb="FFFFFFFF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10"/>
      <color rgb="FF1E7A34"/>
      <name val="Arial"/>
      <family val="2"/>
    </font>
    <font>
      <b/>
      <sz val="10"/>
      <color rgb="FFC00000"/>
      <name val="Arial"/>
      <family val="2"/>
    </font>
    <font>
      <b/>
      <sz val="12"/>
      <color rgb="FFFFFFFF"/>
      <name val="Arial"/>
      <family val="2"/>
    </font>
    <font>
      <i/>
      <sz val="9"/>
      <color rgb="FF404040"/>
      <name val="Arial"/>
      <family val="2"/>
    </font>
    <font>
      <i/>
      <sz val="8"/>
      <color rgb="FF404040"/>
      <name val="Arial"/>
      <family val="2"/>
    </font>
    <font>
      <sz val="10"/>
      <color rgb="FF000000"/>
      <name val="Arial"/>
      <family val="2"/>
    </font>
    <font>
      <sz val="10"/>
      <color rgb="FF1E7A34"/>
      <name val="Arial"/>
      <family val="2"/>
    </font>
    <font>
      <sz val="10"/>
      <color rgb="FFC00000"/>
      <name val="Arial"/>
      <family val="2"/>
    </font>
    <font>
      <b/>
      <sz val="10"/>
      <color rgb="FF000000"/>
      <name val="Arial"/>
      <family val="2"/>
    </font>
    <font>
      <b/>
      <sz val="8"/>
      <color rgb="FFFFFFFF"/>
      <name val="Arial"/>
      <family val="2"/>
    </font>
    <font>
      <b/>
      <sz val="10"/>
      <color rgb="FF1F3864"/>
      <name val="Arial"/>
      <family val="2"/>
    </font>
    <font>
      <sz val="10"/>
      <color rgb="FF404040"/>
      <name val="Arial"/>
      <family val="2"/>
    </font>
    <font>
      <sz val="9"/>
      <color rgb="FFFFFFFF"/>
      <name val="Arial"/>
      <family val="2"/>
    </font>
    <font>
      <i/>
      <sz val="9"/>
      <color rgb="FF595959"/>
      <name val="Arial"/>
      <family val="2"/>
    </font>
    <font>
      <b/>
      <sz val="11"/>
      <color rgb="FF0000FF"/>
      <name val="Arial"/>
      <family val="2"/>
    </font>
    <font>
      <sz val="10"/>
      <color rgb="FF375623"/>
      <name val="Arial"/>
      <family val="2"/>
    </font>
    <font>
      <b/>
      <sz val="9"/>
      <color rgb="FFFFFFFF"/>
      <name val="Arial"/>
      <family val="2"/>
    </font>
    <font>
      <sz val="9"/>
      <color rgb="FF375623"/>
      <name val="Arial"/>
      <family val="2"/>
    </font>
    <font>
      <sz val="12"/>
      <color rgb="FF000000"/>
      <name val="Aptos Narrow"/>
    </font>
  </fonts>
  <fills count="2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FF"/>
      </patternFill>
    </fill>
    <fill>
      <patternFill patternType="solid">
        <fgColor rgb="FFDEEBF7"/>
      </patternFill>
    </fill>
    <fill>
      <patternFill patternType="solid">
        <fgColor rgb="FF8B0000"/>
      </patternFill>
    </fill>
    <fill>
      <patternFill patternType="solid">
        <fgColor rgb="FF1F3864"/>
        <bgColor rgb="FF1F4E79"/>
      </patternFill>
    </fill>
    <fill>
      <patternFill patternType="solid">
        <fgColor rgb="FF2E75B6"/>
        <bgColor rgb="FF4472C4"/>
      </patternFill>
    </fill>
    <fill>
      <patternFill patternType="solid">
        <fgColor rgb="FFF2F2F2"/>
        <bgColor rgb="FFF5F5F5"/>
      </patternFill>
    </fill>
    <fill>
      <patternFill patternType="solid">
        <fgColor rgb="FFFFFFFF"/>
        <bgColor rgb="FFF5F5F5"/>
      </patternFill>
    </fill>
    <fill>
      <patternFill patternType="solid">
        <fgColor rgb="FFD6E4F0"/>
        <bgColor rgb="FFD9E1F2"/>
      </patternFill>
    </fill>
    <fill>
      <patternFill patternType="solid">
        <fgColor rgb="FFA84C33"/>
        <bgColor rgb="FFC55A11"/>
      </patternFill>
    </fill>
    <fill>
      <patternFill patternType="solid">
        <fgColor rgb="FFFFB3B3"/>
        <bgColor rgb="FFFF99CC"/>
      </patternFill>
    </fill>
    <fill>
      <patternFill patternType="solid">
        <fgColor rgb="FF2F5496"/>
        <bgColor rgb="FF1F4E79"/>
      </patternFill>
    </fill>
    <fill>
      <patternFill patternType="solid">
        <fgColor rgb="FF4472C4"/>
        <bgColor rgb="FF2E75B6"/>
      </patternFill>
    </fill>
    <fill>
      <patternFill patternType="solid">
        <fgColor rgb="FFD9E1F2"/>
        <bgColor rgb="FFD6E4F0"/>
      </patternFill>
    </fill>
  </fills>
  <borders count="11">
    <border>
      <left/>
      <right/>
      <top/>
      <bottom/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2F5496"/>
      </left>
      <right style="medium">
        <color rgb="FF2F5496"/>
      </right>
      <top style="medium">
        <color rgb="FF2F5496"/>
      </top>
      <bottom style="medium">
        <color rgb="FF2F5496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rgb="FFBFBFBF"/>
      </bottom>
      <diagonal/>
    </border>
  </borders>
  <cellStyleXfs count="2">
    <xf numFmtId="0" fontId="0" fillId="0" borderId="0"/>
    <xf numFmtId="0" fontId="21" fillId="0" borderId="0"/>
  </cellStyleXfs>
  <cellXfs count="169">
    <xf numFmtId="0" fontId="0" fillId="0" borderId="0" xfId="0"/>
    <xf numFmtId="0" fontId="0" fillId="0" borderId="0" xfId="0" applyAlignment="1">
      <alignment vertical="top" wrapText="1"/>
    </xf>
    <xf numFmtId="0" fontId="5" fillId="0" borderId="0" xfId="0" applyFont="1" applyAlignment="1">
      <alignment horizontal="left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/>
    <xf numFmtId="0" fontId="7" fillId="4" borderId="4" xfId="0" applyFont="1" applyFill="1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0" fontId="7" fillId="0" borderId="0" xfId="0" applyFont="1" applyAlignment="1">
      <alignment horizontal="right" vertical="center"/>
    </xf>
    <xf numFmtId="2" fontId="8" fillId="5" borderId="4" xfId="0" applyNumberFormat="1" applyFont="1" applyFill="1" applyBorder="1" applyAlignment="1">
      <alignment horizontal="center" vertical="center" wrapText="1"/>
    </xf>
    <xf numFmtId="0" fontId="9" fillId="5" borderId="4" xfId="0" applyFont="1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2" fontId="12" fillId="6" borderId="4" xfId="0" applyNumberFormat="1" applyFont="1" applyFill="1" applyBorder="1" applyAlignment="1">
      <alignment horizontal="center" vertical="center" wrapText="1"/>
    </xf>
    <xf numFmtId="0" fontId="0" fillId="6" borderId="4" xfId="0" applyFill="1" applyBorder="1" applyAlignment="1">
      <alignment vertical="top" wrapText="1"/>
    </xf>
    <xf numFmtId="0" fontId="0" fillId="7" borderId="4" xfId="0" applyFill="1" applyBorder="1" applyAlignment="1">
      <alignment horizontal="center" vertical="center" wrapText="1"/>
    </xf>
    <xf numFmtId="2" fontId="12" fillId="7" borderId="4" xfId="0" applyNumberFormat="1" applyFont="1" applyFill="1" applyBorder="1" applyAlignment="1">
      <alignment horizontal="center" vertical="center" wrapText="1"/>
    </xf>
    <xf numFmtId="0" fontId="0" fillId="7" borderId="4" xfId="0" applyFill="1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indent="1"/>
    </xf>
    <xf numFmtId="2" fontId="12" fillId="4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right" vertical="center"/>
    </xf>
    <xf numFmtId="2" fontId="14" fillId="5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/>
    </xf>
    <xf numFmtId="164" fontId="0" fillId="0" borderId="4" xfId="0" applyNumberFormat="1" applyBorder="1" applyAlignment="1">
      <alignment horizontal="center" vertical="center" wrapText="1"/>
    </xf>
    <xf numFmtId="1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2" fontId="12" fillId="3" borderId="4" xfId="0" applyNumberFormat="1" applyFont="1" applyFill="1" applyBorder="1" applyAlignment="1">
      <alignment horizontal="center" vertical="center" wrapText="1"/>
    </xf>
    <xf numFmtId="164" fontId="12" fillId="3" borderId="4" xfId="0" applyNumberFormat="1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0" fillId="0" borderId="0" xfId="0" applyAlignment="1">
      <alignment indent="1"/>
    </xf>
    <xf numFmtId="165" fontId="12" fillId="4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Border="1" applyAlignment="1">
      <alignment horizontal="center" vertical="center" wrapText="1"/>
    </xf>
    <xf numFmtId="166" fontId="0" fillId="8" borderId="4" xfId="0" applyNumberFormat="1" applyFill="1" applyBorder="1" applyAlignment="1">
      <alignment horizontal="center" vertical="center" wrapText="1"/>
    </xf>
    <xf numFmtId="166" fontId="0" fillId="0" borderId="4" xfId="0" applyNumberFormat="1" applyBorder="1" applyAlignment="1">
      <alignment horizontal="center" vertical="center" wrapText="1"/>
    </xf>
    <xf numFmtId="165" fontId="12" fillId="8" borderId="4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right" vertical="center"/>
    </xf>
    <xf numFmtId="165" fontId="12" fillId="5" borderId="4" xfId="0" applyNumberFormat="1" applyFont="1" applyFill="1" applyBorder="1" applyAlignment="1">
      <alignment horizontal="center" vertical="center" wrapText="1"/>
    </xf>
    <xf numFmtId="166" fontId="12" fillId="8" borderId="4" xfId="0" applyNumberFormat="1" applyFont="1" applyFill="1" applyBorder="1" applyAlignment="1">
      <alignment horizontal="center" vertical="center" wrapText="1"/>
    </xf>
    <xf numFmtId="10" fontId="12" fillId="8" borderId="4" xfId="0" applyNumberFormat="1" applyFont="1" applyFill="1" applyBorder="1" applyAlignment="1">
      <alignment horizontal="center" vertical="center" wrapText="1"/>
    </xf>
    <xf numFmtId="2" fontId="9" fillId="4" borderId="4" xfId="0" applyNumberFormat="1" applyFont="1" applyFill="1" applyBorder="1" applyAlignment="1">
      <alignment horizontal="center" vertical="center" wrapText="1"/>
    </xf>
    <xf numFmtId="166" fontId="8" fillId="5" borderId="4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right" vertical="center"/>
    </xf>
    <xf numFmtId="165" fontId="0" fillId="0" borderId="4" xfId="0" applyNumberFormat="1" applyBorder="1" applyAlignment="1">
      <alignment horizontal="center" vertical="center" wrapText="1"/>
    </xf>
    <xf numFmtId="167" fontId="0" fillId="0" borderId="4" xfId="0" applyNumberFormat="1" applyBorder="1" applyAlignment="1">
      <alignment horizontal="center" vertical="center" wrapText="1"/>
    </xf>
    <xf numFmtId="10" fontId="9" fillId="4" borderId="4" xfId="0" applyNumberFormat="1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indent="1"/>
    </xf>
    <xf numFmtId="0" fontId="11" fillId="2" borderId="0" xfId="0" applyFont="1" applyFill="1" applyAlignment="1">
      <alignment horizontal="left" vertical="center" indent="1"/>
    </xf>
    <xf numFmtId="49" fontId="0" fillId="0" borderId="4" xfId="0" applyNumberFormat="1" applyBorder="1" applyAlignment="1">
      <alignment horizontal="center" vertical="center" wrapText="1"/>
    </xf>
    <xf numFmtId="49" fontId="0" fillId="0" borderId="4" xfId="0" applyNumberFormat="1" applyBorder="1"/>
    <xf numFmtId="0" fontId="0" fillId="0" borderId="4" xfId="0" applyBorder="1" applyAlignment="1">
      <alignment wrapText="1"/>
    </xf>
    <xf numFmtId="0" fontId="21" fillId="0" borderId="0" xfId="1"/>
    <xf numFmtId="0" fontId="25" fillId="12" borderId="7" xfId="1" applyFont="1" applyFill="1" applyBorder="1"/>
    <xf numFmtId="0" fontId="26" fillId="12" borderId="7" xfId="1" applyFont="1" applyFill="1" applyBorder="1" applyAlignment="1">
      <alignment horizontal="center" vertical="center" wrapText="1"/>
    </xf>
    <xf numFmtId="0" fontId="27" fillId="11" borderId="7" xfId="1" applyFont="1" applyFill="1" applyBorder="1" applyAlignment="1">
      <alignment horizontal="center" vertical="center" wrapText="1"/>
    </xf>
    <xf numFmtId="0" fontId="25" fillId="13" borderId="7" xfId="1" applyFont="1" applyFill="1" applyBorder="1"/>
    <xf numFmtId="0" fontId="26" fillId="13" borderId="7" xfId="1" applyFont="1" applyFill="1" applyBorder="1" applyAlignment="1">
      <alignment horizontal="center" vertical="center" wrapText="1"/>
    </xf>
    <xf numFmtId="0" fontId="28" fillId="12" borderId="7" xfId="1" applyFont="1" applyFill="1" applyBorder="1"/>
    <xf numFmtId="0" fontId="29" fillId="12" borderId="7" xfId="1" applyFont="1" applyFill="1" applyBorder="1" applyAlignment="1">
      <alignment horizontal="center" vertical="center" wrapText="1"/>
    </xf>
    <xf numFmtId="10" fontId="30" fillId="12" borderId="7" xfId="1" applyNumberFormat="1" applyFont="1" applyFill="1" applyBorder="1" applyAlignment="1">
      <alignment horizontal="center" vertical="center" wrapText="1"/>
    </xf>
    <xf numFmtId="0" fontId="28" fillId="13" borderId="7" xfId="1" applyFont="1" applyFill="1" applyBorder="1"/>
    <xf numFmtId="0" fontId="29" fillId="13" borderId="7" xfId="1" applyFont="1" applyFill="1" applyBorder="1" applyAlignment="1">
      <alignment horizontal="center" vertical="center" wrapText="1"/>
    </xf>
    <xf numFmtId="10" fontId="30" fillId="13" borderId="7" xfId="1" applyNumberFormat="1" applyFont="1" applyFill="1" applyBorder="1" applyAlignment="1">
      <alignment horizontal="center" vertical="center" wrapText="1"/>
    </xf>
    <xf numFmtId="10" fontId="31" fillId="12" borderId="7" xfId="1" applyNumberFormat="1" applyFont="1" applyFill="1" applyBorder="1" applyAlignment="1">
      <alignment horizontal="center" vertical="center" wrapText="1"/>
    </xf>
    <xf numFmtId="0" fontId="34" fillId="0" borderId="0" xfId="1" applyFont="1" applyAlignment="1">
      <alignment horizontal="right" vertical="center"/>
    </xf>
    <xf numFmtId="0" fontId="34" fillId="0" borderId="0" xfId="1" applyFont="1" applyAlignment="1">
      <alignment horizontal="center" vertical="center" wrapText="1"/>
    </xf>
    <xf numFmtId="0" fontId="35" fillId="12" borderId="7" xfId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right" vertical="center"/>
    </xf>
    <xf numFmtId="0" fontId="35" fillId="13" borderId="7" xfId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right" vertical="center"/>
    </xf>
    <xf numFmtId="10" fontId="36" fillId="12" borderId="7" xfId="1" applyNumberFormat="1" applyFont="1" applyFill="1" applyBorder="1" applyAlignment="1">
      <alignment horizontal="right" vertical="center"/>
    </xf>
    <xf numFmtId="10" fontId="37" fillId="12" borderId="7" xfId="1" applyNumberFormat="1" applyFont="1" applyFill="1" applyBorder="1" applyAlignment="1">
      <alignment horizontal="right" vertical="center"/>
    </xf>
    <xf numFmtId="10" fontId="36" fillId="13" borderId="7" xfId="1" applyNumberFormat="1" applyFont="1" applyFill="1" applyBorder="1" applyAlignment="1">
      <alignment horizontal="right" vertical="center"/>
    </xf>
    <xf numFmtId="10" fontId="37" fillId="13" borderId="7" xfId="1" applyNumberFormat="1" applyFont="1" applyFill="1" applyBorder="1" applyAlignment="1">
      <alignment horizontal="right" vertical="center"/>
    </xf>
    <xf numFmtId="49" fontId="38" fillId="12" borderId="7" xfId="1" applyNumberFormat="1" applyFont="1" applyFill="1" applyBorder="1" applyAlignment="1">
      <alignment horizontal="left" vertical="center"/>
    </xf>
    <xf numFmtId="10" fontId="35" fillId="12" borderId="7" xfId="1" applyNumberFormat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center" vertical="center" wrapText="1"/>
    </xf>
    <xf numFmtId="49" fontId="38" fillId="13" borderId="7" xfId="1" applyNumberFormat="1" applyFont="1" applyFill="1" applyBorder="1" applyAlignment="1">
      <alignment horizontal="left" vertical="center"/>
    </xf>
    <xf numFmtId="10" fontId="35" fillId="13" borderId="7" xfId="1" applyNumberFormat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center" vertical="center" wrapText="1"/>
    </xf>
    <xf numFmtId="0" fontId="39" fillId="11" borderId="7" xfId="1" applyFont="1" applyFill="1" applyBorder="1" applyAlignment="1">
      <alignment horizontal="center" vertical="center" wrapText="1"/>
    </xf>
    <xf numFmtId="0" fontId="28" fillId="14" borderId="7" xfId="1" applyFont="1" applyFill="1" applyBorder="1" applyAlignment="1">
      <alignment horizontal="left"/>
    </xf>
    <xf numFmtId="168" fontId="28" fillId="15" borderId="7" xfId="1" applyNumberFormat="1" applyFont="1" applyFill="1" applyBorder="1" applyAlignment="1">
      <alignment horizontal="right" vertical="center"/>
    </xf>
    <xf numFmtId="168" fontId="29" fillId="12" borderId="7" xfId="1" applyNumberFormat="1" applyFont="1" applyFill="1" applyBorder="1" applyAlignment="1">
      <alignment horizontal="right" vertical="center"/>
    </xf>
    <xf numFmtId="168" fontId="29" fillId="13" borderId="7" xfId="1" applyNumberFormat="1" applyFont="1" applyFill="1" applyBorder="1" applyAlignment="1">
      <alignment horizontal="right" vertical="center"/>
    </xf>
    <xf numFmtId="165" fontId="29" fillId="15" borderId="7" xfId="1" applyNumberFormat="1" applyFont="1" applyFill="1" applyBorder="1" applyAlignment="1">
      <alignment horizontal="right" vertical="center"/>
    </xf>
    <xf numFmtId="165" fontId="29" fillId="13" borderId="7" xfId="1" applyNumberFormat="1" applyFont="1" applyFill="1" applyBorder="1" applyAlignment="1">
      <alignment horizontal="right" vertical="center"/>
    </xf>
    <xf numFmtId="165" fontId="29" fillId="16" borderId="7" xfId="1" applyNumberFormat="1" applyFont="1" applyFill="1" applyBorder="1" applyAlignment="1">
      <alignment horizontal="right" vertical="center"/>
    </xf>
    <xf numFmtId="1" fontId="41" fillId="12" borderId="7" xfId="1" applyNumberFormat="1" applyFont="1" applyFill="1" applyBorder="1" applyAlignment="1">
      <alignment horizontal="center" vertical="center" wrapText="1"/>
    </xf>
    <xf numFmtId="169" fontId="41" fillId="12" borderId="7" xfId="1" applyNumberFormat="1" applyFont="1" applyFill="1" applyBorder="1" applyAlignment="1">
      <alignment horizontal="center" vertical="center" wrapText="1"/>
    </xf>
    <xf numFmtId="165" fontId="41" fillId="12" borderId="7" xfId="1" applyNumberFormat="1" applyFont="1" applyFill="1" applyBorder="1" applyAlignment="1">
      <alignment horizontal="center" vertical="center" wrapText="1"/>
    </xf>
    <xf numFmtId="49" fontId="41" fillId="12" borderId="7" xfId="1" applyNumberFormat="1" applyFont="1" applyFill="1" applyBorder="1" applyAlignment="1">
      <alignment horizontal="center" vertical="center" wrapText="1"/>
    </xf>
    <xf numFmtId="0" fontId="29" fillId="12" borderId="7" xfId="1" applyFont="1" applyFill="1" applyBorder="1"/>
    <xf numFmtId="1" fontId="36" fillId="13" borderId="7" xfId="1" applyNumberFormat="1" applyFont="1" applyFill="1" applyBorder="1" applyAlignment="1">
      <alignment horizontal="center" vertical="center" wrapText="1"/>
    </xf>
    <xf numFmtId="169" fontId="36" fillId="13" borderId="7" xfId="1" applyNumberFormat="1" applyFont="1" applyFill="1" applyBorder="1" applyAlignment="1">
      <alignment horizontal="center" vertical="center" wrapText="1"/>
    </xf>
    <xf numFmtId="165" fontId="36" fillId="13" borderId="7" xfId="1" applyNumberFormat="1" applyFont="1" applyFill="1" applyBorder="1" applyAlignment="1">
      <alignment horizontal="center" vertical="center" wrapText="1"/>
    </xf>
    <xf numFmtId="49" fontId="36" fillId="13" borderId="7" xfId="1" applyNumberFormat="1" applyFont="1" applyFill="1" applyBorder="1" applyAlignment="1">
      <alignment horizontal="center" vertical="center" wrapText="1"/>
    </xf>
    <xf numFmtId="0" fontId="29" fillId="13" borderId="7" xfId="1" applyFont="1" applyFill="1" applyBorder="1"/>
    <xf numFmtId="1" fontId="36" fillId="12" borderId="7" xfId="1" applyNumberFormat="1" applyFont="1" applyFill="1" applyBorder="1" applyAlignment="1">
      <alignment horizontal="center" vertical="center" wrapText="1"/>
    </xf>
    <xf numFmtId="169" fontId="36" fillId="12" borderId="7" xfId="1" applyNumberFormat="1" applyFont="1" applyFill="1" applyBorder="1" applyAlignment="1">
      <alignment horizontal="center" vertical="center" wrapText="1"/>
    </xf>
    <xf numFmtId="165" fontId="36" fillId="12" borderId="7" xfId="1" applyNumberFormat="1" applyFont="1" applyFill="1" applyBorder="1" applyAlignment="1">
      <alignment horizontal="center" vertical="center" wrapText="1"/>
    </xf>
    <xf numFmtId="49" fontId="36" fillId="12" borderId="7" xfId="1" applyNumberFormat="1" applyFont="1" applyFill="1" applyBorder="1" applyAlignment="1">
      <alignment horizontal="center" vertical="center" wrapText="1"/>
    </xf>
    <xf numFmtId="10" fontId="41" fillId="12" borderId="7" xfId="1" applyNumberFormat="1" applyFont="1" applyFill="1" applyBorder="1" applyAlignment="1">
      <alignment horizontal="right" vertical="center"/>
    </xf>
    <xf numFmtId="10" fontId="41" fillId="13" borderId="7" xfId="1" applyNumberFormat="1" applyFont="1" applyFill="1" applyBorder="1" applyAlignment="1">
      <alignment horizontal="right" vertical="center"/>
    </xf>
    <xf numFmtId="0" fontId="38" fillId="0" borderId="7" xfId="1" applyFont="1" applyBorder="1" applyAlignment="1">
      <alignment horizontal="left" vertical="center"/>
    </xf>
    <xf numFmtId="0" fontId="44" fillId="4" borderId="8" xfId="1" applyFont="1" applyFill="1" applyBorder="1" applyAlignment="1">
      <alignment horizontal="center" vertical="center"/>
    </xf>
    <xf numFmtId="10" fontId="45" fillId="0" borderId="7" xfId="1" applyNumberFormat="1" applyFont="1" applyBorder="1" applyAlignment="1">
      <alignment horizontal="center" vertical="center" wrapText="1"/>
    </xf>
    <xf numFmtId="0" fontId="38" fillId="12" borderId="7" xfId="1" applyFont="1" applyFill="1" applyBorder="1" applyAlignment="1">
      <alignment horizontal="left" vertical="center"/>
    </xf>
    <xf numFmtId="10" fontId="35" fillId="6" borderId="7" xfId="1" applyNumberFormat="1" applyFont="1" applyFill="1" applyBorder="1" applyAlignment="1">
      <alignment horizontal="center" vertical="center"/>
    </xf>
    <xf numFmtId="0" fontId="46" fillId="0" borderId="7" xfId="1" applyFont="1" applyBorder="1" applyAlignment="1">
      <alignment horizontal="center" vertical="center" wrapText="1"/>
    </xf>
    <xf numFmtId="10" fontId="47" fillId="0" borderId="7" xfId="1" applyNumberFormat="1" applyFont="1" applyBorder="1" applyAlignment="1">
      <alignment horizontal="center" vertical="center" wrapText="1"/>
    </xf>
    <xf numFmtId="165" fontId="47" fillId="0" borderId="7" xfId="1" applyNumberFormat="1" applyFont="1" applyBorder="1" applyAlignment="1">
      <alignment horizontal="center" vertical="center" wrapText="1"/>
    </xf>
    <xf numFmtId="168" fontId="35" fillId="6" borderId="7" xfId="1" applyNumberFormat="1" applyFont="1" applyFill="1" applyBorder="1" applyAlignment="1">
      <alignment horizontal="center" vertical="center"/>
    </xf>
    <xf numFmtId="165" fontId="35" fillId="6" borderId="7" xfId="1" applyNumberFormat="1" applyFont="1" applyFill="1" applyBorder="1" applyAlignment="1">
      <alignment horizontal="center" vertical="center"/>
    </xf>
    <xf numFmtId="0" fontId="24" fillId="17" borderId="7" xfId="1" applyFont="1" applyFill="1" applyBorder="1" applyAlignment="1">
      <alignment horizontal="center" vertical="center" wrapText="1"/>
    </xf>
    <xf numFmtId="0" fontId="35" fillId="13" borderId="7" xfId="1" applyFont="1" applyFill="1" applyBorder="1" applyAlignment="1">
      <alignment horizontal="left" vertical="center"/>
    </xf>
    <xf numFmtId="10" fontId="35" fillId="13" borderId="8" xfId="1" applyNumberFormat="1" applyFont="1" applyFill="1" applyBorder="1" applyAlignment="1">
      <alignment horizontal="center" vertical="center" wrapText="1"/>
    </xf>
    <xf numFmtId="10" fontId="45" fillId="13" borderId="7" xfId="1" applyNumberFormat="1" applyFont="1" applyFill="1" applyBorder="1" applyAlignment="1">
      <alignment horizontal="center" vertical="center" wrapText="1"/>
    </xf>
    <xf numFmtId="0" fontId="29" fillId="0" borderId="7" xfId="1" applyFont="1" applyBorder="1" applyAlignment="1">
      <alignment horizontal="left" vertical="center"/>
    </xf>
    <xf numFmtId="0" fontId="35" fillId="19" borderId="7" xfId="1" applyFont="1" applyFill="1" applyBorder="1" applyAlignment="1">
      <alignment horizontal="left" vertical="center"/>
    </xf>
    <xf numFmtId="10" fontId="38" fillId="19" borderId="8" xfId="1" applyNumberFormat="1" applyFont="1" applyFill="1" applyBorder="1" applyAlignment="1">
      <alignment horizontal="center" vertical="center" wrapText="1"/>
    </xf>
    <xf numFmtId="0" fontId="21" fillId="19" borderId="7" xfId="1" applyFill="1" applyBorder="1"/>
    <xf numFmtId="0" fontId="46" fillId="17" borderId="7" xfId="1" applyFont="1" applyFill="1" applyBorder="1" applyAlignment="1">
      <alignment horizontal="center" vertical="center" wrapText="1"/>
    </xf>
    <xf numFmtId="0" fontId="39" fillId="17" borderId="7" xfId="1" applyFont="1" applyFill="1" applyBorder="1" applyAlignment="1">
      <alignment horizontal="center" vertical="center" wrapText="1"/>
    </xf>
    <xf numFmtId="0" fontId="28" fillId="12" borderId="7" xfId="1" applyFont="1" applyFill="1" applyBorder="1" applyAlignment="1">
      <alignment horizontal="left" vertical="center"/>
    </xf>
    <xf numFmtId="168" fontId="47" fillId="13" borderId="7" xfId="1" applyNumberFormat="1" applyFont="1" applyFill="1" applyBorder="1" applyAlignment="1">
      <alignment horizontal="center" vertical="center" wrapText="1"/>
    </xf>
    <xf numFmtId="168" fontId="47" fillId="19" borderId="7" xfId="1" applyNumberFormat="1" applyFont="1" applyFill="1" applyBorder="1" applyAlignment="1">
      <alignment horizontal="center" vertical="center" wrapText="1"/>
    </xf>
    <xf numFmtId="0" fontId="32" fillId="10" borderId="0" xfId="0" applyFont="1" applyFill="1"/>
    <xf numFmtId="0" fontId="27" fillId="11" borderId="0" xfId="0" applyFont="1" applyFill="1"/>
    <xf numFmtId="0" fontId="27" fillId="18" borderId="10" xfId="1" applyFont="1" applyFill="1" applyBorder="1" applyAlignment="1">
      <alignment horizontal="left" vertical="center"/>
    </xf>
    <xf numFmtId="0" fontId="27" fillId="0" borderId="0" xfId="1" applyFont="1" applyAlignment="1">
      <alignment horizontal="center" vertical="center" wrapText="1"/>
    </xf>
    <xf numFmtId="0" fontId="38" fillId="19" borderId="7" xfId="1" applyFont="1" applyFill="1" applyBorder="1" applyAlignment="1">
      <alignment horizontal="right" vertical="center"/>
    </xf>
    <xf numFmtId="0" fontId="21" fillId="0" borderId="9" xfId="1" applyBorder="1"/>
    <xf numFmtId="0" fontId="27" fillId="18" borderId="0" xfId="1" applyFont="1" applyFill="1" applyAlignment="1">
      <alignment horizontal="left" vertical="center"/>
    </xf>
    <xf numFmtId="0" fontId="21" fillId="0" borderId="0" xfId="1"/>
    <xf numFmtId="0" fontId="43" fillId="0" borderId="0" xfId="1" applyFont="1" applyAlignment="1">
      <alignment horizontal="left" vertical="center"/>
    </xf>
    <xf numFmtId="0" fontId="28" fillId="0" borderId="7" xfId="1" applyFont="1" applyBorder="1" applyAlignment="1">
      <alignment horizontal="left" vertical="center"/>
    </xf>
    <xf numFmtId="0" fontId="46" fillId="0" borderId="7" xfId="1" applyFont="1" applyBorder="1" applyAlignment="1">
      <alignment horizontal="center" vertical="center" wrapText="1"/>
    </xf>
    <xf numFmtId="0" fontId="22" fillId="10" borderId="0" xfId="1" applyFont="1" applyFill="1" applyAlignment="1">
      <alignment horizontal="center" vertical="center" wrapText="1"/>
    </xf>
    <xf numFmtId="0" fontId="42" fillId="17" borderId="0" xfId="1" applyFont="1" applyFill="1" applyAlignment="1">
      <alignment horizontal="center" vertical="center" wrapText="1"/>
    </xf>
    <xf numFmtId="0" fontId="7" fillId="0" borderId="0" xfId="0" applyFont="1" applyAlignment="1">
      <alignment horizontal="right" vertical="center"/>
    </xf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0" fillId="0" borderId="3" xfId="0" applyBorder="1"/>
    <xf numFmtId="0" fontId="1" fillId="2" borderId="0" xfId="0" applyFont="1" applyFill="1" applyAlignment="1">
      <alignment horizontal="center" vertical="center"/>
    </xf>
    <xf numFmtId="0" fontId="10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0" borderId="2" xfId="0" applyBorder="1"/>
    <xf numFmtId="0" fontId="23" fillId="11" borderId="0" xfId="1" applyFont="1" applyFill="1" applyAlignment="1">
      <alignment horizontal="center" vertical="center" wrapText="1"/>
    </xf>
    <xf numFmtId="0" fontId="24" fillId="10" borderId="0" xfId="1" applyFont="1" applyFill="1" applyAlignment="1">
      <alignment horizontal="center" vertical="center" wrapText="1"/>
    </xf>
    <xf numFmtId="0" fontId="32" fillId="10" borderId="0" xfId="1" applyFont="1" applyFill="1" applyAlignment="1">
      <alignment horizontal="center" vertical="center" wrapText="1"/>
    </xf>
    <xf numFmtId="0" fontId="33" fillId="0" borderId="0" xfId="1" applyFont="1" applyAlignment="1">
      <alignment horizontal="center"/>
    </xf>
    <xf numFmtId="0" fontId="40" fillId="0" borderId="0" xfId="1" applyFont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 indent="1"/>
    </xf>
    <xf numFmtId="0" fontId="0" fillId="0" borderId="4" xfId="0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6" xfId="0" applyBorder="1"/>
    <xf numFmtId="0" fontId="6" fillId="2" borderId="4" xfId="0" applyFont="1" applyFill="1" applyBorder="1" applyAlignment="1">
      <alignment horizontal="center" vertical="center" wrapText="1"/>
    </xf>
    <xf numFmtId="0" fontId="15" fillId="2" borderId="0" xfId="0" applyFont="1" applyFill="1" applyAlignment="1">
      <alignment horizontal="center" vertical="center"/>
    </xf>
    <xf numFmtId="0" fontId="10" fillId="0" borderId="0" xfId="0" applyFont="1" applyAlignment="1">
      <alignment horizontal="left" vertical="center" wrapText="1" indent="1"/>
    </xf>
    <xf numFmtId="0" fontId="17" fillId="9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6" fillId="2" borderId="0" xfId="0" applyFont="1" applyFill="1" applyAlignment="1">
      <alignment horizontal="left" vertical="center" indent="1"/>
    </xf>
    <xf numFmtId="0" fontId="10" fillId="0" borderId="0" xfId="0" applyFont="1"/>
  </cellXfs>
  <cellStyles count="2">
    <cellStyle name="Normal" xfId="0" builtinId="0"/>
    <cellStyle name="Normal 2" xfId="1" xr:uid="{9E842BDB-ADF3-4810-9B68-08C23C445EA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'2_MVP_Calculator'!$A$17:$D$17</c:f>
              <c:strCache>
                <c:ptCount val="1"/>
                <c:pt idx="0">
                  <c:v>③ OPTIMAL WEIGHTS — Fund Allocation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9662-DE4C-9A2F-7574EE9F50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9662-DE4C-9A2F-7574EE9F50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9662-DE4C-9A2F-7574EE9F507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9662-DE4C-9A2F-7574EE9F507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9662-DE4C-9A2F-7574EE9F507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9662-DE4C-9A2F-7574EE9F507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9662-DE4C-9A2F-7574EE9F507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9662-DE4C-9A2F-7574EE9F507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9662-DE4C-9A2F-7574EE9F507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9662-DE4C-9A2F-7574EE9F50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'2_MVP_Calculator'!$A$19:$A$28</c:f>
              <c:strCache>
                <c:ptCount val="10"/>
                <c:pt idx="0">
                  <c:v>Amova SG Bond</c:v>
                </c:pt>
                <c:pt idx="1">
                  <c:v>BK World Gold</c:v>
                </c:pt>
                <c:pt idx="2">
                  <c:v>ES Asian Bond</c:v>
                </c:pt>
                <c:pt idx="3">
                  <c:v>ES Asian Equity</c:v>
                </c:pt>
                <c:pt idx="4">
                  <c:v>Fid World</c:v>
                </c:pt>
                <c:pt idx="5">
                  <c:v>Fid America</c:v>
                </c:pt>
                <c:pt idx="6">
                  <c:v>Fid EM</c:v>
                </c:pt>
                <c:pt idx="7">
                  <c:v>LionGlobal SG</c:v>
                </c:pt>
                <c:pt idx="8">
                  <c:v>Manulife AP REIT</c:v>
                </c:pt>
                <c:pt idx="9">
                  <c:v>PIMCO Income</c:v>
                </c:pt>
              </c:strCache>
            </c:strRef>
          </c:cat>
          <c:val>
            <c:numRef>
              <c:f>'2_MVP_Calculator'!$C$19:$C$28</c:f>
              <c:numCache>
                <c:formatCode>0.00%</c:formatCode>
                <c:ptCount val="10"/>
                <c:pt idx="0">
                  <c:v>0</c:v>
                </c:pt>
                <c:pt idx="1">
                  <c:v>0.18889024170130791</c:v>
                </c:pt>
                <c:pt idx="2">
                  <c:v>0</c:v>
                </c:pt>
                <c:pt idx="3">
                  <c:v>0</c:v>
                </c:pt>
                <c:pt idx="4">
                  <c:v>0.16939902759414494</c:v>
                </c:pt>
                <c:pt idx="5">
                  <c:v>0</c:v>
                </c:pt>
                <c:pt idx="6">
                  <c:v>0</c:v>
                </c:pt>
                <c:pt idx="7">
                  <c:v>0.64171073070454709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8E-9541-B501-F4A25A4E3DD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latin typeface="Arial"/>
                <a:ea typeface="Arial"/>
                <a:cs typeface="Arial"/>
              </a:defRPr>
            </a:pPr>
            <a:r>
              <a:rPr lang="en-GB"/>
              <a:t>Efficient Frontier: With vs Without Short Selling  |  Target stdev= 16.13%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Frontier (w/ Short Selling)</c:v>
          </c:tx>
          <c:spPr>
            <a:ln w="31750">
              <a:solidFill>
                <a:srgbClr val="1F4E79"/>
              </a:solidFill>
            </a:ln>
          </c:spPr>
          <c:marker>
            <c:symbol val="none"/>
          </c:marker>
          <c:xVal>
            <c:numRef>
              <c:f>'9_Charts'!$A$3:$A$178</c:f>
              <c:numCache>
                <c:formatCode>General</c:formatCode>
                <c:ptCount val="176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  <c:pt idx="100">
                  <c:v>0.11600000000000001</c:v>
                </c:pt>
                <c:pt idx="101">
                  <c:v>0.11899999999999999</c:v>
                </c:pt>
                <c:pt idx="102">
                  <c:v>0.122</c:v>
                </c:pt>
                <c:pt idx="103">
                  <c:v>0.125</c:v>
                </c:pt>
                <c:pt idx="104">
                  <c:v>0.128</c:v>
                </c:pt>
                <c:pt idx="105">
                  <c:v>0.13100000000000001</c:v>
                </c:pt>
                <c:pt idx="106">
                  <c:v>0.13400000000000001</c:v>
                </c:pt>
                <c:pt idx="107">
                  <c:v>0.13700000000000001</c:v>
                </c:pt>
                <c:pt idx="108">
                  <c:v>0.14000000000000001</c:v>
                </c:pt>
                <c:pt idx="109">
                  <c:v>0.14299999999999999</c:v>
                </c:pt>
                <c:pt idx="110">
                  <c:v>0.14599999999999999</c:v>
                </c:pt>
                <c:pt idx="111">
                  <c:v>0.14899999999999999</c:v>
                </c:pt>
                <c:pt idx="112">
                  <c:v>0.152</c:v>
                </c:pt>
                <c:pt idx="113">
                  <c:v>0.155</c:v>
                </c:pt>
                <c:pt idx="114">
                  <c:v>0.158</c:v>
                </c:pt>
                <c:pt idx="115">
                  <c:v>0.161</c:v>
                </c:pt>
                <c:pt idx="116">
                  <c:v>0.16400000000000001</c:v>
                </c:pt>
                <c:pt idx="117">
                  <c:v>0.16700000000000001</c:v>
                </c:pt>
                <c:pt idx="118">
                  <c:v>0.17</c:v>
                </c:pt>
                <c:pt idx="119">
                  <c:v>0.17299999999999999</c:v>
                </c:pt>
                <c:pt idx="120">
                  <c:v>0.17599999999999999</c:v>
                </c:pt>
                <c:pt idx="121">
                  <c:v>0.17899999999999999</c:v>
                </c:pt>
                <c:pt idx="122">
                  <c:v>0.182</c:v>
                </c:pt>
                <c:pt idx="123">
                  <c:v>0.185</c:v>
                </c:pt>
                <c:pt idx="124">
                  <c:v>0.188</c:v>
                </c:pt>
                <c:pt idx="125">
                  <c:v>0.191</c:v>
                </c:pt>
                <c:pt idx="126">
                  <c:v>0.19400000000000001</c:v>
                </c:pt>
                <c:pt idx="127">
                  <c:v>0.19700000000000001</c:v>
                </c:pt>
                <c:pt idx="128">
                  <c:v>0.2</c:v>
                </c:pt>
                <c:pt idx="129">
                  <c:v>0.20300000000000001</c:v>
                </c:pt>
                <c:pt idx="130">
                  <c:v>0.20599999999999999</c:v>
                </c:pt>
                <c:pt idx="131">
                  <c:v>0.20899999999999999</c:v>
                </c:pt>
                <c:pt idx="132">
                  <c:v>0.21199999999999999</c:v>
                </c:pt>
                <c:pt idx="133">
                  <c:v>0.215</c:v>
                </c:pt>
                <c:pt idx="134">
                  <c:v>0.218</c:v>
                </c:pt>
                <c:pt idx="135">
                  <c:v>0.221</c:v>
                </c:pt>
                <c:pt idx="136">
                  <c:v>0.224</c:v>
                </c:pt>
                <c:pt idx="137">
                  <c:v>0.22700000000000001</c:v>
                </c:pt>
                <c:pt idx="138">
                  <c:v>0.23</c:v>
                </c:pt>
                <c:pt idx="139">
                  <c:v>0.23300000000000001</c:v>
                </c:pt>
                <c:pt idx="140">
                  <c:v>0.23599999999999999</c:v>
                </c:pt>
                <c:pt idx="141">
                  <c:v>0.23899999999999999</c:v>
                </c:pt>
                <c:pt idx="142">
                  <c:v>0.24199999999999999</c:v>
                </c:pt>
                <c:pt idx="143">
                  <c:v>0.245</c:v>
                </c:pt>
                <c:pt idx="144">
                  <c:v>0.248</c:v>
                </c:pt>
                <c:pt idx="145">
                  <c:v>0.251</c:v>
                </c:pt>
                <c:pt idx="146">
                  <c:v>0.254</c:v>
                </c:pt>
                <c:pt idx="147">
                  <c:v>0.25700000000000001</c:v>
                </c:pt>
                <c:pt idx="148">
                  <c:v>0.26</c:v>
                </c:pt>
                <c:pt idx="149">
                  <c:v>0.26300000000000001</c:v>
                </c:pt>
                <c:pt idx="150">
                  <c:v>0.26600000000000001</c:v>
                </c:pt>
                <c:pt idx="151">
                  <c:v>0.26900000000000002</c:v>
                </c:pt>
                <c:pt idx="152">
                  <c:v>0.27200000000000002</c:v>
                </c:pt>
                <c:pt idx="153">
                  <c:v>0.27500000000000002</c:v>
                </c:pt>
                <c:pt idx="154">
                  <c:v>0.27800000000000002</c:v>
                </c:pt>
                <c:pt idx="155">
                  <c:v>0.28100000000000003</c:v>
                </c:pt>
                <c:pt idx="156">
                  <c:v>0.28399999999999997</c:v>
                </c:pt>
                <c:pt idx="157">
                  <c:v>0.28699999999999998</c:v>
                </c:pt>
                <c:pt idx="158">
                  <c:v>0.28999999999999998</c:v>
                </c:pt>
                <c:pt idx="159">
                  <c:v>0.29299999999999998</c:v>
                </c:pt>
                <c:pt idx="160">
                  <c:v>0.29599999999999999</c:v>
                </c:pt>
                <c:pt idx="161">
                  <c:v>0.29899999999999999</c:v>
                </c:pt>
                <c:pt idx="162">
                  <c:v>0.30199999999999999</c:v>
                </c:pt>
                <c:pt idx="163">
                  <c:v>0.30499999999999999</c:v>
                </c:pt>
                <c:pt idx="164">
                  <c:v>0.308</c:v>
                </c:pt>
                <c:pt idx="165">
                  <c:v>0.311</c:v>
                </c:pt>
                <c:pt idx="166">
                  <c:v>0.314</c:v>
                </c:pt>
                <c:pt idx="167">
                  <c:v>0.317</c:v>
                </c:pt>
                <c:pt idx="168">
                  <c:v>0.32</c:v>
                </c:pt>
                <c:pt idx="169">
                  <c:v>0.32300000000000001</c:v>
                </c:pt>
                <c:pt idx="170">
                  <c:v>0.32600000000000001</c:v>
                </c:pt>
                <c:pt idx="171">
                  <c:v>0.32900000000000001</c:v>
                </c:pt>
                <c:pt idx="172">
                  <c:v>0.33200000000000002</c:v>
                </c:pt>
                <c:pt idx="173">
                  <c:v>0.33500000000000002</c:v>
                </c:pt>
                <c:pt idx="174">
                  <c:v>0.33800000000000002</c:v>
                </c:pt>
                <c:pt idx="175">
                  <c:v>0.34100000000000003</c:v>
                </c:pt>
              </c:numCache>
            </c:numRef>
          </c:xVal>
          <c:yVal>
            <c:numRef>
              <c:f>'9_Charts'!$B$3:$B$178</c:f>
              <c:numCache>
                <c:formatCode>General</c:formatCode>
                <c:ptCount val="176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  <c:pt idx="100">
                  <c:v>0.32109599999999999</c:v>
                </c:pt>
                <c:pt idx="101">
                  <c:v>0.32934099999999999</c:v>
                </c:pt>
                <c:pt idx="102">
                  <c:v>0.33756399999999998</c:v>
                </c:pt>
                <c:pt idx="103">
                  <c:v>0.34576899999999999</c:v>
                </c:pt>
                <c:pt idx="104">
                  <c:v>0.35395500000000002</c:v>
                </c:pt>
                <c:pt idx="105">
                  <c:v>0.36212499999999997</c:v>
                </c:pt>
                <c:pt idx="106">
                  <c:v>0.37028</c:v>
                </c:pt>
                <c:pt idx="107">
                  <c:v>0.37841999999999998</c:v>
                </c:pt>
                <c:pt idx="108">
                  <c:v>0.38654699999999997</c:v>
                </c:pt>
                <c:pt idx="109">
                  <c:v>0.39466200000000001</c:v>
                </c:pt>
                <c:pt idx="110">
                  <c:v>0.40276499999999998</c:v>
                </c:pt>
                <c:pt idx="111">
                  <c:v>0.410858</c:v>
                </c:pt>
                <c:pt idx="112">
                  <c:v>0.41893999999999998</c:v>
                </c:pt>
                <c:pt idx="113">
                  <c:v>0.42701299999999998</c:v>
                </c:pt>
                <c:pt idx="114">
                  <c:v>0.43507699999999999</c:v>
                </c:pt>
                <c:pt idx="115">
                  <c:v>0.44313200000000003</c:v>
                </c:pt>
                <c:pt idx="116">
                  <c:v>0.451179</c:v>
                </c:pt>
                <c:pt idx="117">
                  <c:v>0.45921899999999999</c:v>
                </c:pt>
                <c:pt idx="118">
                  <c:v>0.467252</c:v>
                </c:pt>
                <c:pt idx="119">
                  <c:v>0.47527900000000001</c:v>
                </c:pt>
                <c:pt idx="120">
                  <c:v>0.48329899999999998</c:v>
                </c:pt>
                <c:pt idx="121">
                  <c:v>0.491313</c:v>
                </c:pt>
                <c:pt idx="122">
                  <c:v>0.49932100000000001</c:v>
                </c:pt>
                <c:pt idx="123">
                  <c:v>0.507324</c:v>
                </c:pt>
                <c:pt idx="124">
                  <c:v>0.51532199999999995</c:v>
                </c:pt>
                <c:pt idx="125">
                  <c:v>0.52331399999999995</c:v>
                </c:pt>
                <c:pt idx="126">
                  <c:v>0.53130299999999997</c:v>
                </c:pt>
                <c:pt idx="127">
                  <c:v>0.53928600000000004</c:v>
                </c:pt>
                <c:pt idx="128">
                  <c:v>0.54726600000000003</c:v>
                </c:pt>
                <c:pt idx="129">
                  <c:v>0.55524200000000001</c:v>
                </c:pt>
                <c:pt idx="130">
                  <c:v>0.56321299999999996</c:v>
                </c:pt>
                <c:pt idx="131">
                  <c:v>0.57118199999999997</c:v>
                </c:pt>
                <c:pt idx="132">
                  <c:v>0.57914600000000005</c:v>
                </c:pt>
                <c:pt idx="133">
                  <c:v>0.58710700000000005</c:v>
                </c:pt>
                <c:pt idx="134">
                  <c:v>0.59506499999999996</c:v>
                </c:pt>
                <c:pt idx="135">
                  <c:v>0.60302</c:v>
                </c:pt>
                <c:pt idx="136">
                  <c:v>0.61097199999999996</c:v>
                </c:pt>
                <c:pt idx="137">
                  <c:v>0.61892100000000005</c:v>
                </c:pt>
                <c:pt idx="138">
                  <c:v>0.62686799999999998</c:v>
                </c:pt>
                <c:pt idx="139">
                  <c:v>0.63481200000000004</c:v>
                </c:pt>
                <c:pt idx="140">
                  <c:v>0.64275300000000002</c:v>
                </c:pt>
                <c:pt idx="141">
                  <c:v>0.65069200000000005</c:v>
                </c:pt>
                <c:pt idx="142">
                  <c:v>0.65862799999999999</c:v>
                </c:pt>
                <c:pt idx="143">
                  <c:v>0.66656300000000002</c:v>
                </c:pt>
                <c:pt idx="144">
                  <c:v>0.67449499999999996</c:v>
                </c:pt>
                <c:pt idx="145">
                  <c:v>0.68242499999999995</c:v>
                </c:pt>
                <c:pt idx="146">
                  <c:v>0.69035299999999999</c:v>
                </c:pt>
                <c:pt idx="147">
                  <c:v>0.69827899999999998</c:v>
                </c:pt>
                <c:pt idx="148">
                  <c:v>0.70620400000000005</c:v>
                </c:pt>
                <c:pt idx="149">
                  <c:v>0.71412600000000004</c:v>
                </c:pt>
                <c:pt idx="150">
                  <c:v>0.72204699999999999</c:v>
                </c:pt>
                <c:pt idx="151">
                  <c:v>0.729966</c:v>
                </c:pt>
                <c:pt idx="152">
                  <c:v>0.73788399999999998</c:v>
                </c:pt>
                <c:pt idx="153">
                  <c:v>0.74579899999999999</c:v>
                </c:pt>
                <c:pt idx="154">
                  <c:v>0.753714</c:v>
                </c:pt>
                <c:pt idx="155">
                  <c:v>0.76162700000000005</c:v>
                </c:pt>
                <c:pt idx="156">
                  <c:v>0.76953800000000006</c:v>
                </c:pt>
                <c:pt idx="157">
                  <c:v>0.77744899999999995</c:v>
                </c:pt>
                <c:pt idx="158">
                  <c:v>0.785358</c:v>
                </c:pt>
                <c:pt idx="159">
                  <c:v>0.793265</c:v>
                </c:pt>
                <c:pt idx="160">
                  <c:v>0.80117099999999997</c:v>
                </c:pt>
                <c:pt idx="161">
                  <c:v>0.80907700000000005</c:v>
                </c:pt>
                <c:pt idx="162">
                  <c:v>0.81698099999999996</c:v>
                </c:pt>
                <c:pt idx="163">
                  <c:v>0.82488300000000003</c:v>
                </c:pt>
                <c:pt idx="164">
                  <c:v>0.832785</c:v>
                </c:pt>
                <c:pt idx="165">
                  <c:v>0.84068600000000004</c:v>
                </c:pt>
                <c:pt idx="166">
                  <c:v>0.84858500000000003</c:v>
                </c:pt>
                <c:pt idx="167">
                  <c:v>0.85648400000000002</c:v>
                </c:pt>
                <c:pt idx="168">
                  <c:v>0.86438199999999998</c:v>
                </c:pt>
                <c:pt idx="169">
                  <c:v>0.872278</c:v>
                </c:pt>
                <c:pt idx="170">
                  <c:v>0.88017400000000001</c:v>
                </c:pt>
                <c:pt idx="171">
                  <c:v>0.888069</c:v>
                </c:pt>
                <c:pt idx="172">
                  <c:v>0.89596299999999995</c:v>
                </c:pt>
                <c:pt idx="173">
                  <c:v>0.90385599999999999</c:v>
                </c:pt>
                <c:pt idx="174">
                  <c:v>0.911748</c:v>
                </c:pt>
                <c:pt idx="175">
                  <c:v>0.91964000000000001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3A-EE46-A307-238DC1157152}"/>
            </c:ext>
          </c:extLst>
        </c:ser>
        <c:ser>
          <c:idx val="1"/>
          <c:order val="1"/>
          <c:tx>
            <c:v>Frontier (Long-Only)</c:v>
          </c:tx>
          <c:spPr>
            <a:ln w="31750">
              <a:solidFill>
                <a:srgbClr val="ED7D31"/>
              </a:solidFill>
            </a:ln>
          </c:spPr>
          <c:marker>
            <c:symbol val="none"/>
          </c:marker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3A-EE46-A307-238DC1157152}"/>
            </c:ext>
          </c:extLst>
        </c:ser>
        <c:ser>
          <c:idx val="2"/>
          <c:order val="2"/>
          <c:tx>
            <c:v>GMVP (SS)</c:v>
          </c:tx>
          <c:spPr>
            <a:ln>
              <a:solidFill>
                <a:srgbClr val="1F4E79"/>
              </a:solidFill>
            </a:ln>
          </c:spPr>
          <c:marker>
            <c:symbol val="square"/>
            <c:size val="10"/>
            <c:spPr>
              <a:solidFill>
                <a:srgbClr val="1F4E79"/>
              </a:solidFill>
              <a:ln>
                <a:solidFill>
                  <a:srgbClr val="1F4E79"/>
                </a:solidFill>
              </a:ln>
            </c:spPr>
          </c:marker>
          <c:xVal>
            <c:numRef>
              <c:f>'9_Charts'!$J$3</c:f>
              <c:numCache>
                <c:formatCode>General</c:formatCode>
                <c:ptCount val="1"/>
                <c:pt idx="0">
                  <c:v>3.6054999999999997E-2</c:v>
                </c:pt>
              </c:numCache>
            </c:numRef>
          </c:xVal>
          <c:yVal>
            <c:numRef>
              <c:f>'9_Charts'!$K$3</c:f>
              <c:numCache>
                <c:formatCode>General</c:formatCode>
                <c:ptCount val="1"/>
                <c:pt idx="0">
                  <c:v>3.2759999999999997E-2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43A-EE46-A307-238DC1157152}"/>
            </c:ext>
          </c:extLst>
        </c:ser>
        <c:ser>
          <c:idx val="3"/>
          <c:order val="3"/>
          <c:tx>
            <c:v>GMVP (Long-Only)</c:v>
          </c:tx>
          <c:spPr>
            <a:ln>
              <a:solidFill>
                <a:srgbClr val="ED7D31"/>
              </a:solidFill>
            </a:ln>
          </c:spPr>
          <c:marker>
            <c:symbol val="square"/>
            <c:size val="10"/>
            <c:spPr>
              <a:solidFill>
                <a:srgbClr val="ED7D31"/>
              </a:solidFill>
              <a:ln>
                <a:solidFill>
                  <a:srgbClr val="ED7D31"/>
                </a:solidFill>
              </a:ln>
            </c:spPr>
          </c:marker>
          <c:xVal>
            <c:numRef>
              <c:f>'9_Charts'!$J$4</c:f>
              <c:numCache>
                <c:formatCode>General</c:formatCode>
                <c:ptCount val="1"/>
                <c:pt idx="0">
                  <c:v>4.7344999999999998E-2</c:v>
                </c:pt>
              </c:numCache>
            </c:numRef>
          </c:xVal>
          <c:yVal>
            <c:numRef>
              <c:f>'9_Charts'!$K$4</c:f>
              <c:numCache>
                <c:formatCode>General</c:formatCode>
                <c:ptCount val="1"/>
                <c:pt idx="0">
                  <c:v>2.4698000000000001E-2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43A-EE46-A307-238DC1157152}"/>
            </c:ext>
          </c:extLst>
        </c:ser>
        <c:ser>
          <c:idx val="4"/>
          <c:order val="4"/>
          <c:tx>
            <c:v>MVP (w/ Short Selling)</c:v>
          </c:tx>
          <c:spPr>
            <a:ln>
              <a:solidFill>
                <a:srgbClr val="C00000"/>
              </a:solidFill>
            </a:ln>
          </c:spPr>
          <c:marker>
            <c:symbol val="diamond"/>
            <c:size val="14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0.16125912323019084</c:v>
              </c:pt>
            </c:numLit>
          </c:xVal>
          <c:yVal>
            <c:numLit>
              <c:formatCode>General</c:formatCode>
              <c:ptCount val="1"/>
              <c:pt idx="0">
                <c:v>0.44313200000000003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343A-EE46-A307-238DC1157152}"/>
            </c:ext>
          </c:extLst>
        </c:ser>
        <c:ser>
          <c:idx val="5"/>
          <c:order val="5"/>
          <c:tx>
            <c:v>MVP (Long-Only)</c:v>
          </c:tx>
          <c:spPr>
            <a:ln>
              <a:solidFill>
                <a:srgbClr val="C55A11"/>
              </a:solidFill>
            </a:ln>
          </c:spPr>
          <c:marker>
            <c:symbol val="diamond"/>
            <c:size val="14"/>
            <c:spPr>
              <a:solidFill>
                <a:srgbClr val="C55A11"/>
              </a:solidFill>
              <a:ln>
                <a:solidFill>
                  <a:srgbClr val="C55A11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0.16125912323019084</c:v>
              </c:pt>
            </c:numLit>
          </c:xVal>
          <c:yVal>
            <c:numLit>
              <c:formatCode>General</c:formatCode>
              <c:ptCount val="1"/>
              <c:pt idx="0">
                <c:v>0.161832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343A-EE46-A307-238DC1157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937536"/>
        <c:axId val="604206208"/>
      </c:scatterChart>
      <c:valAx>
        <c:axId val="845937536"/>
        <c:scaling>
          <c:orientation val="minMax"/>
          <c:max val="0.35"/>
        </c:scaling>
        <c:delete val="0"/>
        <c:axPos val="b"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Portfolio Std Dev (sigma)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604206208"/>
        <c:crosses val="autoZero"/>
        <c:crossBetween val="midCat"/>
      </c:valAx>
      <c:valAx>
        <c:axId val="604206208"/>
        <c:scaling>
          <c:orientation val="minMax"/>
          <c:max val="0.493132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Expected Return (mu)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845937536"/>
        <c:crosses val="autoZero"/>
        <c:crossBetween val="midCat"/>
      </c:valAx>
      <c:spPr>
        <a:solidFill>
          <a:srgbClr val="F8F8F8"/>
        </a:solidFill>
      </c:spPr>
    </c:plotArea>
    <c:legend>
      <c:legendPos val="b"/>
      <c:overlay val="0"/>
      <c:txPr>
        <a:bodyPr/>
        <a:lstStyle/>
        <a:p>
          <a:pPr>
            <a:defRPr sz="900"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Efficient Frontier: With vs Without Short Selling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Frontier (Short Selling Allowed)</c:v>
          </c:tx>
          <c:spPr>
            <a:ln w="24840">
              <a:solidFill>
                <a:srgbClr val="2E75B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'9_Charts'!$A$3:$A$102</c:f>
              <c:numCache>
                <c:formatCode>General</c:formatCode>
                <c:ptCount val="100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</c:numCache>
            </c:numRef>
          </c:xVal>
          <c:yVal>
            <c:numRef>
              <c:f>'9_Charts'!$B$3:$B$102</c:f>
              <c:numCache>
                <c:formatCode>General</c:formatCode>
                <c:ptCount val="100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26-48BB-851B-83DF56D673EB}"/>
            </c:ext>
          </c:extLst>
        </c:ser>
        <c:ser>
          <c:idx val="1"/>
          <c:order val="1"/>
          <c:tx>
            <c:v>Frontier (Long-Only)</c:v>
          </c:tx>
          <c:spPr>
            <a:ln w="24840">
              <a:solidFill>
                <a:srgbClr val="E07B39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26-48BB-851B-83DF56D673EB}"/>
            </c:ext>
          </c:extLst>
        </c:ser>
        <c:ser>
          <c:idx val="2"/>
          <c:order val="2"/>
          <c:tx>
            <c:v>Individual Funds</c:v>
          </c:tx>
          <c:spPr>
            <a:ln w="28440">
              <a:noFill/>
              <a:prstDash val="solid"/>
            </a:ln>
          </c:spPr>
          <c:marker>
            <c:symbol val="circle"/>
            <c:size val="7"/>
            <c:spPr>
              <a:solidFill>
                <a:srgbClr val="808080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'9_Charts'!$G$3:$G$12</c:f>
              <c:numCache>
                <c:formatCode>General</c:formatCode>
                <c:ptCount val="10"/>
                <c:pt idx="0">
                  <c:v>4.8122999999999999E-2</c:v>
                </c:pt>
                <c:pt idx="1">
                  <c:v>0.333312</c:v>
                </c:pt>
                <c:pt idx="2">
                  <c:v>7.7185000000000004E-2</c:v>
                </c:pt>
                <c:pt idx="3">
                  <c:v>0.18478800000000001</c:v>
                </c:pt>
                <c:pt idx="4">
                  <c:v>0.13111400000000001</c:v>
                </c:pt>
                <c:pt idx="5">
                  <c:v>0.13878799999999999</c:v>
                </c:pt>
                <c:pt idx="6">
                  <c:v>0.196904</c:v>
                </c:pt>
                <c:pt idx="7">
                  <c:v>0.16289400000000001</c:v>
                </c:pt>
                <c:pt idx="8">
                  <c:v>0.17049600000000001</c:v>
                </c:pt>
                <c:pt idx="9">
                  <c:v>5.7336999999999999E-2</c:v>
                </c:pt>
              </c:numCache>
            </c:numRef>
          </c:xVal>
          <c:yVal>
            <c:numRef>
              <c:f>'9_Charts'!$H$3:$H$12</c:f>
              <c:numCache>
                <c:formatCode>General</c:formatCode>
                <c:ptCount val="10"/>
                <c:pt idx="0">
                  <c:v>2.3338000000000001E-2</c:v>
                </c:pt>
                <c:pt idx="1">
                  <c:v>0.26544400000000001</c:v>
                </c:pt>
                <c:pt idx="2">
                  <c:v>-6.3792000000000001E-2</c:v>
                </c:pt>
                <c:pt idx="3">
                  <c:v>6.8536E-2</c:v>
                </c:pt>
                <c:pt idx="4">
                  <c:v>7.5042999999999999E-2</c:v>
                </c:pt>
                <c:pt idx="5">
                  <c:v>7.6662999999999995E-2</c:v>
                </c:pt>
                <c:pt idx="6">
                  <c:v>4.9612000000000003E-2</c:v>
                </c:pt>
                <c:pt idx="7">
                  <c:v>0.152396</c:v>
                </c:pt>
                <c:pt idx="8">
                  <c:v>-8.6768999999999999E-2</c:v>
                </c:pt>
                <c:pt idx="9">
                  <c:v>2.9808999999999999E-2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26-48BB-851B-83DF56D673EB}"/>
            </c:ext>
          </c:extLst>
        </c:ser>
        <c:ser>
          <c:idx val="3"/>
          <c:order val="3"/>
          <c:tx>
            <c:v>GMVP / Tangency</c:v>
          </c:tx>
          <c:spPr>
            <a:ln w="28440">
              <a:noFill/>
              <a:prstDash val="solid"/>
            </a:ln>
          </c:spPr>
          <c:marker>
            <c:symbol val="square"/>
            <c:size val="10"/>
            <c:spPr>
              <a:solidFill>
                <a:srgbClr val="C9A84C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'9_Charts'!$J$3:$J$5</c:f>
              <c:numCache>
                <c:formatCode>General</c:formatCode>
                <c:ptCount val="3"/>
                <c:pt idx="0">
                  <c:v>3.6054999999999997E-2</c:v>
                </c:pt>
                <c:pt idx="1">
                  <c:v>4.7344999999999998E-2</c:v>
                </c:pt>
                <c:pt idx="2">
                  <c:v>0.18888099999999999</c:v>
                </c:pt>
              </c:numCache>
            </c:numRef>
          </c:xVal>
          <c:yVal>
            <c:numRef>
              <c:f>'9_Charts'!$K$3:$K$5</c:f>
              <c:numCache>
                <c:formatCode>General</c:formatCode>
                <c:ptCount val="3"/>
                <c:pt idx="0">
                  <c:v>3.2759999999999997E-2</c:v>
                </c:pt>
                <c:pt idx="1">
                  <c:v>2.4698000000000001E-2</c:v>
                </c:pt>
                <c:pt idx="2">
                  <c:v>0.185923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26-48BB-851B-83DF56D67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69571"/>
        <c:axId val="53798089"/>
      </c:scatterChart>
      <c:valAx>
        <c:axId val="49969571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Portfolio Std Dev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σ)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53798089"/>
        <c:crosses val="autoZero"/>
        <c:crossBetween val="midCat"/>
      </c:valAx>
      <c:valAx>
        <c:axId val="5379808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Expected Return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μ)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9969571"/>
        <c:crosses val="autoZero"/>
        <c:crossBetween val="midCat"/>
      </c:valAx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5</xdr:row>
          <xdr:rowOff>12700</xdr:rowOff>
        </xdr:from>
        <xdr:to>
          <xdr:col>3</xdr:col>
          <xdr:colOff>3149600</xdr:colOff>
          <xdr:row>5</xdr:row>
          <xdr:rowOff>419100</xdr:rowOff>
        </xdr:to>
        <xdr:sp macro="" textlink="">
          <xdr:nvSpPr>
            <xdr:cNvPr id="1025" name="GenRandQ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Randomize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5</xdr:row>
          <xdr:rowOff>12700</xdr:rowOff>
        </xdr:from>
        <xdr:to>
          <xdr:col>5</xdr:col>
          <xdr:colOff>774700</xdr:colOff>
          <xdr:row>5</xdr:row>
          <xdr:rowOff>431800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698500</xdr:colOff>
          <xdr:row>8</xdr:row>
          <xdr:rowOff>101600</xdr:rowOff>
        </xdr:from>
        <xdr:to>
          <xdr:col>3</xdr:col>
          <xdr:colOff>88900</xdr:colOff>
          <xdr:row>9</xdr:row>
          <xdr:rowOff>165100</xdr:rowOff>
        </xdr:to>
        <xdr:sp macro="" textlink="">
          <xdr:nvSpPr>
            <xdr:cNvPr id="11265" name="CalcMVP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Calculate MVP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83608</xdr:colOff>
      <xdr:row>4</xdr:row>
      <xdr:rowOff>34395</xdr:rowOff>
    </xdr:from>
    <xdr:to>
      <xdr:col>21</xdr:col>
      <xdr:colOff>32102</xdr:colOff>
      <xdr:row>16</xdr:row>
      <xdr:rowOff>35453</xdr:rowOff>
    </xdr:to>
    <xdr:graphicFrame macro="">
      <xdr:nvGraphicFramePr>
        <xdr:cNvPr id="33" name="OptimalWeight_Chart">
          <a:extLst>
            <a:ext uri="{FF2B5EF4-FFF2-40B4-BE49-F238E27FC236}">
              <a16:creationId xmlns:a16="http://schemas.microsoft.com/office/drawing/2014/main" id="{6FAA7646-663B-7D13-B4F6-651334DB05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4</xdr:row>
      <xdr:rowOff>114300</xdr:rowOff>
    </xdr:from>
    <xdr:to>
      <xdr:col>13</xdr:col>
      <xdr:colOff>520700</xdr:colOff>
      <xdr:row>27</xdr:row>
      <xdr:rowOff>63500</xdr:rowOff>
    </xdr:to>
    <xdr:graphicFrame macro="">
      <xdr:nvGraphicFramePr>
        <xdr:cNvPr id="3" name="MVP_FrontierChart">
          <a:extLst>
            <a:ext uri="{FF2B5EF4-FFF2-40B4-BE49-F238E27FC236}">
              <a16:creationId xmlns:a16="http://schemas.microsoft.com/office/drawing/2014/main" id="{6660D3D0-5943-9F0C-BBBC-A9A474F23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241300</xdr:colOff>
      <xdr:row>13</xdr:row>
      <xdr:rowOff>12700</xdr:rowOff>
    </xdr:from>
    <xdr:to>
      <xdr:col>25</xdr:col>
      <xdr:colOff>302060</xdr:colOff>
      <xdr:row>43</xdr:row>
      <xdr:rowOff>57340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E2BA7C-2EE2-4B4C-AF1E-CB308111F0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20</xdr:row>
          <xdr:rowOff>25400</xdr:rowOff>
        </xdr:from>
        <xdr:to>
          <xdr:col>3</xdr:col>
          <xdr:colOff>254000</xdr:colOff>
          <xdr:row>20</xdr:row>
          <xdr:rowOff>431800</xdr:rowOff>
        </xdr:to>
        <xdr:sp macro="" textlink="">
          <xdr:nvSpPr>
            <xdr:cNvPr id="4097" name="OptNoSS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(No-Shortselling)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21</xdr:row>
          <xdr:rowOff>0</xdr:rowOff>
        </xdr:from>
        <xdr:to>
          <xdr:col>3</xdr:col>
          <xdr:colOff>254000</xdr:colOff>
          <xdr:row>21</xdr:row>
          <xdr:rowOff>431800</xdr:rowOff>
        </xdr:to>
        <xdr:sp macro="" textlink="">
          <xdr:nvSpPr>
            <xdr:cNvPr id="4098" name="OptWSS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(w Shortselling)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varco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cov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92D050"/>
  </sheetPr>
  <dimension ref="A1:G23"/>
  <sheetViews>
    <sheetView topLeftCell="D9" workbookViewId="0">
      <selection activeCell="F9" sqref="F9"/>
    </sheetView>
  </sheetViews>
  <sheetFormatPr baseColWidth="10" defaultColWidth="8.83203125" defaultRowHeight="15" x14ac:dyDescent="0.2"/>
  <cols>
    <col min="1" max="1" width="4" customWidth="1"/>
    <col min="2" max="2" width="10" customWidth="1"/>
    <col min="3" max="3" width="22" customWidth="1"/>
    <col min="4" max="4" width="48" customWidth="1"/>
    <col min="5" max="5" width="56" customWidth="1"/>
    <col min="6" max="6" width="12" customWidth="1"/>
    <col min="7" max="7" width="11" customWidth="1"/>
  </cols>
  <sheetData>
    <row r="1" spans="1:7" ht="30" customHeight="1" x14ac:dyDescent="0.2">
      <c r="A1" s="144" t="s">
        <v>0</v>
      </c>
      <c r="B1" s="141"/>
      <c r="C1" s="141"/>
      <c r="D1" s="141"/>
      <c r="E1" s="141"/>
      <c r="F1" s="141"/>
      <c r="G1" s="141"/>
    </row>
    <row r="2" spans="1:7" x14ac:dyDescent="0.2">
      <c r="A2" s="147" t="s">
        <v>1</v>
      </c>
      <c r="B2" s="141"/>
      <c r="C2" s="141"/>
      <c r="D2" s="141"/>
      <c r="E2" s="141"/>
      <c r="F2" s="141"/>
      <c r="G2" s="141"/>
    </row>
    <row r="4" spans="1:7" ht="60" customHeight="1" x14ac:dyDescent="0.2">
      <c r="A4" s="146" t="s">
        <v>2</v>
      </c>
      <c r="B4" s="141"/>
      <c r="C4" s="141"/>
      <c r="D4" s="141"/>
      <c r="E4" s="141"/>
      <c r="F4" s="141"/>
      <c r="G4" s="141"/>
    </row>
    <row r="6" spans="1:7" ht="36" customHeight="1" x14ac:dyDescent="0.2">
      <c r="B6" s="148" t="s">
        <v>3</v>
      </c>
      <c r="C6" s="149"/>
      <c r="D6" s="143"/>
      <c r="E6" s="142" t="s">
        <v>4</v>
      </c>
      <c r="F6" s="143"/>
      <c r="G6" s="2"/>
    </row>
    <row r="8" spans="1:7" ht="16" x14ac:dyDescent="0.2">
      <c r="A8" s="3" t="s">
        <v>5</v>
      </c>
      <c r="B8" s="3" t="s">
        <v>6</v>
      </c>
      <c r="C8" s="3" t="s">
        <v>7</v>
      </c>
      <c r="D8" s="3" t="s">
        <v>8</v>
      </c>
      <c r="E8" s="3" t="s">
        <v>9</v>
      </c>
      <c r="F8" s="3" t="s">
        <v>10</v>
      </c>
      <c r="G8" s="3" t="s">
        <v>11</v>
      </c>
    </row>
    <row r="9" spans="1:7" ht="72" customHeight="1" x14ac:dyDescent="0.2">
      <c r="A9" s="4">
        <v>1</v>
      </c>
      <c r="B9" s="49" t="s">
        <v>327</v>
      </c>
      <c r="C9" s="5" t="s">
        <v>253</v>
      </c>
      <c r="D9" s="5" t="s">
        <v>328</v>
      </c>
      <c r="E9" s="50" t="s">
        <v>1383</v>
      </c>
      <c r="F9" s="6" t="s">
        <v>24</v>
      </c>
      <c r="G9" s="7">
        <f>IF(OR(B9="",F9=""),"",IFERROR(VLOOKUP(B9&amp;"-"&amp;LOWER(F9),'10_Question_Bank'!$A:$B,2,FALSE),"?"))</f>
        <v>8</v>
      </c>
    </row>
    <row r="10" spans="1:7" ht="72" customHeight="1" x14ac:dyDescent="0.2">
      <c r="A10" s="4">
        <v>2</v>
      </c>
      <c r="B10" s="49" t="s">
        <v>664</v>
      </c>
      <c r="C10" s="5" t="s">
        <v>572</v>
      </c>
      <c r="D10" s="5" t="s">
        <v>665</v>
      </c>
      <c r="E10" s="50" t="s">
        <v>1384</v>
      </c>
      <c r="F10" s="6" t="s">
        <v>27</v>
      </c>
      <c r="G10" s="7">
        <f>IF(OR(B10="",F10=""),"",IFERROR(VLOOKUP(B10&amp;"-"&amp;LOWER(F10),'10_Question_Bank'!$A:$B,2,FALSE),"?"))</f>
        <v>5</v>
      </c>
    </row>
    <row r="11" spans="1:7" ht="72" customHeight="1" x14ac:dyDescent="0.2">
      <c r="A11" s="4">
        <v>3</v>
      </c>
      <c r="B11" s="49" t="s">
        <v>73</v>
      </c>
      <c r="C11" s="5" t="s">
        <v>22</v>
      </c>
      <c r="D11" s="5" t="s">
        <v>74</v>
      </c>
      <c r="E11" s="50" t="s">
        <v>1385</v>
      </c>
      <c r="F11" s="6" t="s">
        <v>27</v>
      </c>
      <c r="G11" s="7">
        <f>IF(OR(B11="",F11=""),"",IFERROR(VLOOKUP(B11&amp;"-"&amp;LOWER(F11),'10_Question_Bank'!$A:$B,2,FALSE),"?"))</f>
        <v>6</v>
      </c>
    </row>
    <row r="12" spans="1:7" ht="72" customHeight="1" x14ac:dyDescent="0.2">
      <c r="A12" s="4">
        <v>4</v>
      </c>
      <c r="B12" s="49" t="s">
        <v>444</v>
      </c>
      <c r="C12" s="5" t="s">
        <v>360</v>
      </c>
      <c r="D12" s="5" t="s">
        <v>445</v>
      </c>
      <c r="E12" s="50" t="s">
        <v>1386</v>
      </c>
      <c r="F12" s="6" t="s">
        <v>33</v>
      </c>
      <c r="G12" s="7">
        <f>IF(OR(B12="",F12=""),"",IFERROR(VLOOKUP(B12&amp;"-"&amp;LOWER(F12),'10_Question_Bank'!$A:$B,2,FALSE),"?"))</f>
        <v>3</v>
      </c>
    </row>
    <row r="13" spans="1:7" ht="72" customHeight="1" x14ac:dyDescent="0.2">
      <c r="A13" s="4">
        <v>5</v>
      </c>
      <c r="B13" s="49" t="s">
        <v>531</v>
      </c>
      <c r="C13" s="5" t="s">
        <v>467</v>
      </c>
      <c r="D13" s="5" t="s">
        <v>532</v>
      </c>
      <c r="E13" s="50" t="s">
        <v>1387</v>
      </c>
      <c r="F13" s="6" t="s">
        <v>27</v>
      </c>
      <c r="G13" s="7">
        <f>IF(OR(B13="",F13=""),"",IFERROR(VLOOKUP(B13&amp;"-"&amp;LOWER(F13),'10_Question_Bank'!$A:$B,2,FALSE),"?"))</f>
        <v>6</v>
      </c>
    </row>
    <row r="14" spans="1:7" ht="72" customHeight="1" x14ac:dyDescent="0.2">
      <c r="A14" s="4">
        <v>6</v>
      </c>
      <c r="B14" s="49" t="s">
        <v>674</v>
      </c>
      <c r="C14" s="5" t="s">
        <v>675</v>
      </c>
      <c r="D14" s="5" t="s">
        <v>676</v>
      </c>
      <c r="E14" s="50" t="s">
        <v>1382</v>
      </c>
      <c r="F14" s="6" t="s">
        <v>27</v>
      </c>
      <c r="G14" s="7">
        <f>IF(OR(B14="",F14=""),"",IFERROR(VLOOKUP(B14&amp;"-"&amp;LOWER(F14),'10_Question_Bank'!$A:$B,2,FALSE),"?"))</f>
        <v>5</v>
      </c>
    </row>
    <row r="15" spans="1:7" ht="72" customHeight="1" x14ac:dyDescent="0.2">
      <c r="A15" s="4">
        <v>7</v>
      </c>
      <c r="B15" s="49" t="s">
        <v>162</v>
      </c>
      <c r="C15" s="5" t="s">
        <v>138</v>
      </c>
      <c r="D15" s="5" t="s">
        <v>163</v>
      </c>
      <c r="E15" s="50" t="s">
        <v>1388</v>
      </c>
      <c r="F15" s="6" t="s">
        <v>30</v>
      </c>
      <c r="G15" s="7">
        <f>IF(OR(B15="",F15=""),"",IFERROR(VLOOKUP(B15&amp;"-"&amp;LOWER(F15),'10_Question_Bank'!$A:$B,2,FALSE),"?"))</f>
        <v>4</v>
      </c>
    </row>
    <row r="16" spans="1:7" ht="72" customHeight="1" x14ac:dyDescent="0.2">
      <c r="A16" s="4">
        <v>8</v>
      </c>
      <c r="B16" s="49" t="s">
        <v>921</v>
      </c>
      <c r="C16" s="5" t="s">
        <v>884</v>
      </c>
      <c r="D16" s="5" t="s">
        <v>922</v>
      </c>
      <c r="E16" s="50" t="s">
        <v>1389</v>
      </c>
      <c r="F16" s="6" t="s">
        <v>27</v>
      </c>
      <c r="G16" s="7">
        <f>IF(OR(B16="",F16=""),"",IFERROR(VLOOKUP(B16&amp;"-"&amp;LOWER(F16),'10_Question_Bank'!$A:$B,2,FALSE),"?"))</f>
        <v>5</v>
      </c>
    </row>
    <row r="17" spans="1:7" ht="72" customHeight="1" x14ac:dyDescent="0.2">
      <c r="A17" s="4">
        <v>9</v>
      </c>
      <c r="B17" s="49" t="s">
        <v>981</v>
      </c>
      <c r="C17" s="5" t="s">
        <v>982</v>
      </c>
      <c r="D17" s="5" t="s">
        <v>983</v>
      </c>
      <c r="E17" s="50" t="s">
        <v>1390</v>
      </c>
      <c r="F17" s="6" t="s">
        <v>30</v>
      </c>
      <c r="G17" s="7">
        <f>IF(OR(B17="",F17=""),"",IFERROR(VLOOKUP(B17&amp;"-"&amp;LOWER(F17),'10_Question_Bank'!$A:$B,2,FALSE),"?"))</f>
        <v>4</v>
      </c>
    </row>
    <row r="18" spans="1:7" ht="72" customHeight="1" x14ac:dyDescent="0.2">
      <c r="A18" s="4">
        <v>10</v>
      </c>
      <c r="B18" s="49" t="s">
        <v>873</v>
      </c>
      <c r="C18" s="5" t="s">
        <v>779</v>
      </c>
      <c r="D18" s="5" t="s">
        <v>874</v>
      </c>
      <c r="E18" s="50" t="s">
        <v>1391</v>
      </c>
      <c r="F18" s="6" t="s">
        <v>27</v>
      </c>
      <c r="G18" s="7">
        <f>IF(OR(B18="",F18=""),"",IFERROR(VLOOKUP(B18&amp;"-"&amp;LOWER(F18),'10_Question_Bank'!$A:$B,2,FALSE),"?"))</f>
        <v>6</v>
      </c>
    </row>
    <row r="20" spans="1:7" ht="19" x14ac:dyDescent="0.2">
      <c r="B20" s="140" t="s">
        <v>12</v>
      </c>
      <c r="C20" s="141"/>
      <c r="D20" s="141"/>
      <c r="E20" s="141"/>
      <c r="F20" s="141"/>
      <c r="G20" s="9">
        <f>'11_Scoring'!$C$17</f>
        <v>6.2731277533039664</v>
      </c>
    </row>
    <row r="21" spans="1:7" ht="48" x14ac:dyDescent="0.2">
      <c r="B21" s="140" t="s">
        <v>13</v>
      </c>
      <c r="C21" s="141"/>
      <c r="D21" s="141"/>
      <c r="E21" s="141"/>
      <c r="F21" s="141"/>
      <c r="G21" s="10" t="str">
        <f>'11_Scoring'!$C$18</f>
        <v>Moderately Conservative</v>
      </c>
    </row>
    <row r="23" spans="1:7" x14ac:dyDescent="0.2">
      <c r="B23" s="145" t="s">
        <v>14</v>
      </c>
      <c r="C23" s="141"/>
      <c r="D23" s="141"/>
      <c r="E23" s="141"/>
      <c r="F23" s="141"/>
      <c r="G23" s="141"/>
    </row>
  </sheetData>
  <mergeCells count="8">
    <mergeCell ref="B21:F21"/>
    <mergeCell ref="E6:F6"/>
    <mergeCell ref="A1:G1"/>
    <mergeCell ref="B20:F20"/>
    <mergeCell ref="B23:G23"/>
    <mergeCell ref="A4:G4"/>
    <mergeCell ref="A2:G2"/>
    <mergeCell ref="B6:D6"/>
  </mergeCells>
  <dataValidations count="3">
    <dataValidation type="list" allowBlank="1" showInputMessage="1" showErrorMessage="1" errorTitle="Invalid answer" error="Choose one of: a,b,c,d" sqref="F16:F18 F13 F9:F10" xr:uid="{8C874135-9FC5-9E44-A14C-973931D76DFA}">
      <formula1>"a,b,c,d"</formula1>
    </dataValidation>
    <dataValidation type="list" allowBlank="1" showInputMessage="1" showErrorMessage="1" errorTitle="Invalid answer" error="Choose one of: a,b,c,d,e" sqref="F15 F11:F12" xr:uid="{AB733BA4-4B40-0D45-A99F-F95ABDC8A81E}">
      <formula1>"a,b,c,d,e"</formula1>
    </dataValidation>
    <dataValidation type="list" allowBlank="1" showInputMessage="1" showErrorMessage="1" errorTitle="Invalid answer" error="Choose one of: a,b,c" sqref="F14" xr:uid="{33692B54-8B01-5A41-B019-2A9EEEBB9E22}">
      <formula1>"a,b,c"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GenRandQButton">
              <controlPr defaultSize="0" print="0" autoFill="0" autoPict="0" macro="[0]!RandomizeQuestions">
                <anchor moveWithCells="1" sizeWithCells="1">
                  <from>
                    <xdr:col>1</xdr:col>
                    <xdr:colOff>25400</xdr:colOff>
                    <xdr:row>5</xdr:row>
                    <xdr:rowOff>12700</xdr:rowOff>
                  </from>
                  <to>
                    <xdr:col>3</xdr:col>
                    <xdr:colOff>3149600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Questions">
                <anchor moveWithCells="1" sizeWithCells="1">
                  <from>
                    <xdr:col>4</xdr:col>
                    <xdr:colOff>25400</xdr:colOff>
                    <xdr:row>5</xdr:row>
                    <xdr:rowOff>12700</xdr:rowOff>
                  </from>
                  <to>
                    <xdr:col>5</xdr:col>
                    <xdr:colOff>774700</xdr:colOff>
                    <xdr:row>5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28AE9-AD2B-40F5-93B4-4B85032788ED}">
  <sheetPr codeName="Sheet18">
    <tabColor rgb="FF92D050"/>
  </sheetPr>
  <dimension ref="A1:L42"/>
  <sheetViews>
    <sheetView tabSelected="1" workbookViewId="0">
      <selection sqref="A1:L1"/>
    </sheetView>
  </sheetViews>
  <sheetFormatPr baseColWidth="10" defaultColWidth="8.6640625" defaultRowHeight="15" x14ac:dyDescent="0.2"/>
  <cols>
    <col min="1" max="1" width="28" style="51" customWidth="1"/>
    <col min="2" max="2" width="14.83203125" style="51" customWidth="1"/>
    <col min="3" max="3" width="18.5" style="51" customWidth="1"/>
    <col min="4" max="4" width="19.5" style="51" customWidth="1"/>
    <col min="5" max="5" width="12.83203125" style="51" customWidth="1"/>
    <col min="6" max="6" width="22" style="51" customWidth="1"/>
    <col min="7" max="9" width="14" style="51" customWidth="1"/>
    <col min="10" max="10" width="17.5" style="51" customWidth="1"/>
    <col min="11" max="11" width="22" style="51" customWidth="1"/>
    <col min="12" max="12" width="14" style="51" customWidth="1"/>
    <col min="13" max="16384" width="8.6640625" style="51"/>
  </cols>
  <sheetData>
    <row r="1" spans="1:12" ht="34.5" customHeight="1" x14ac:dyDescent="0.2">
      <c r="A1" s="138" t="s">
        <v>1352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</row>
    <row r="2" spans="1:12" ht="18" customHeight="1" x14ac:dyDescent="0.2">
      <c r="A2" s="139" t="s">
        <v>1353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</row>
    <row r="3" spans="1:12" ht="18" customHeight="1" x14ac:dyDescent="0.2"/>
    <row r="4" spans="1:12" ht="21.75" customHeight="1" x14ac:dyDescent="0.2">
      <c r="A4" s="133" t="s">
        <v>1354</v>
      </c>
      <c r="B4" s="134"/>
      <c r="C4" s="134"/>
      <c r="D4" s="134"/>
      <c r="F4" s="135"/>
      <c r="G4" s="134"/>
      <c r="H4" s="134"/>
      <c r="I4" s="134"/>
      <c r="J4" s="134"/>
      <c r="K4" s="134"/>
      <c r="L4" s="134"/>
    </row>
    <row r="5" spans="1:12" ht="19.5" customHeight="1" thickBot="1" x14ac:dyDescent="0.25">
      <c r="A5" s="104" t="s">
        <v>1355</v>
      </c>
      <c r="B5" s="31">
        <f>'12_Optimizer'!B16</f>
        <v>0.16125912323019084</v>
      </c>
      <c r="C5" s="135" t="s">
        <v>1356</v>
      </c>
      <c r="D5" s="134"/>
    </row>
    <row r="6" spans="1:12" ht="19.5" customHeight="1" thickBot="1" x14ac:dyDescent="0.25">
      <c r="A6" s="104" t="s">
        <v>1357</v>
      </c>
      <c r="B6" s="105" t="s">
        <v>1392</v>
      </c>
      <c r="C6" s="135" t="s">
        <v>1358</v>
      </c>
      <c r="D6" s="134"/>
    </row>
    <row r="7" spans="1:12" ht="19.5" customHeight="1" x14ac:dyDescent="0.2">
      <c r="A7" s="104" t="s">
        <v>1359</v>
      </c>
      <c r="B7" s="106">
        <v>3.5000000000000003E-2</v>
      </c>
      <c r="C7" s="135" t="s">
        <v>1360</v>
      </c>
      <c r="D7" s="134"/>
    </row>
    <row r="9" spans="1:12" ht="25.5" customHeight="1" x14ac:dyDescent="0.2">
      <c r="A9" s="130"/>
      <c r="B9" s="134"/>
      <c r="C9" s="134"/>
      <c r="D9" s="134"/>
    </row>
    <row r="11" spans="1:12" ht="21.75" customHeight="1" x14ac:dyDescent="0.2">
      <c r="A11" s="133" t="s">
        <v>1361</v>
      </c>
      <c r="B11" s="134"/>
      <c r="C11" s="134"/>
      <c r="D11" s="134"/>
      <c r="F11" s="130"/>
      <c r="G11" s="134"/>
      <c r="H11" s="134"/>
      <c r="I11" s="134"/>
      <c r="J11" s="134"/>
      <c r="K11" s="134"/>
      <c r="L11" s="134"/>
    </row>
    <row r="12" spans="1:12" ht="18" customHeight="1" x14ac:dyDescent="0.2">
      <c r="A12" s="107" t="s">
        <v>1362</v>
      </c>
      <c r="B12" s="108">
        <f>SUMPRODUCT(C19:C28,D19:D28)</f>
        <v>0.16063311257646098</v>
      </c>
      <c r="C12" s="135" t="s">
        <v>1363</v>
      </c>
      <c r="D12" s="134"/>
      <c r="F12" s="137"/>
      <c r="G12" s="132"/>
      <c r="H12" s="109"/>
      <c r="I12" s="109"/>
      <c r="J12" s="109"/>
    </row>
    <row r="13" spans="1:12" ht="19.5" customHeight="1" x14ac:dyDescent="0.2">
      <c r="A13" s="107" t="s">
        <v>1335</v>
      </c>
      <c r="B13" s="108">
        <f>SQRT(B14)</f>
        <v>0.16126217202473153</v>
      </c>
      <c r="C13" s="135" t="s">
        <v>1364</v>
      </c>
      <c r="D13" s="134"/>
      <c r="F13" s="136"/>
      <c r="G13" s="132"/>
      <c r="H13" s="110"/>
      <c r="I13" s="110"/>
      <c r="J13" s="111"/>
    </row>
    <row r="14" spans="1:12" ht="19.5" customHeight="1" x14ac:dyDescent="0.2">
      <c r="A14" s="107" t="s">
        <v>1365</v>
      </c>
      <c r="B14" s="112">
        <f>SUMPRODUCT(C19:C28,MMULT(B33:K42,C19:C28))</f>
        <v>2.6005488126134107E-2</v>
      </c>
      <c r="C14" s="135" t="s">
        <v>1366</v>
      </c>
      <c r="D14" s="134"/>
      <c r="F14" s="136"/>
      <c r="G14" s="132"/>
      <c r="H14" s="110"/>
      <c r="I14" s="110"/>
      <c r="J14" s="111"/>
    </row>
    <row r="15" spans="1:12" ht="19.5" customHeight="1" x14ac:dyDescent="0.2">
      <c r="A15" s="107" t="s">
        <v>1326</v>
      </c>
      <c r="B15" s="113">
        <f>IF(B13=0,"",(B12-B7)/B13)</f>
        <v>0.77906127022271288</v>
      </c>
      <c r="C15" s="135" t="s">
        <v>1367</v>
      </c>
      <c r="D15" s="134"/>
      <c r="F15" s="136"/>
      <c r="G15" s="132"/>
      <c r="H15" s="110"/>
      <c r="I15" s="110"/>
      <c r="J15" s="111"/>
    </row>
    <row r="17" spans="1:12" ht="21.75" customHeight="1" x14ac:dyDescent="0.2">
      <c r="A17" s="129" t="s">
        <v>1368</v>
      </c>
      <c r="B17" s="129"/>
      <c r="C17" s="129"/>
      <c r="D17" s="129"/>
      <c r="F17" s="130"/>
      <c r="G17" s="130"/>
      <c r="H17" s="130"/>
      <c r="I17" s="130"/>
      <c r="J17" s="130"/>
      <c r="K17" s="130"/>
      <c r="L17" s="130"/>
    </row>
    <row r="18" spans="1:12" ht="18" customHeight="1" thickBot="1" x14ac:dyDescent="0.25">
      <c r="A18" s="114" t="s">
        <v>1109</v>
      </c>
      <c r="B18" s="114" t="s">
        <v>7</v>
      </c>
      <c r="C18" s="114" t="s">
        <v>1086</v>
      </c>
      <c r="D18" s="114" t="s">
        <v>1369</v>
      </c>
      <c r="F18" s="109"/>
      <c r="G18" s="109"/>
      <c r="H18" s="109"/>
      <c r="I18" s="109"/>
      <c r="J18" s="109"/>
      <c r="K18" s="109"/>
    </row>
    <row r="19" spans="1:12" ht="18" customHeight="1" thickBot="1" x14ac:dyDescent="0.25">
      <c r="A19" s="115" t="s">
        <v>1112</v>
      </c>
      <c r="B19" s="115" t="s">
        <v>1218</v>
      </c>
      <c r="C19" s="116">
        <v>0</v>
      </c>
      <c r="D19" s="117">
        <f>'3_Summary'!H6</f>
        <v>2.3300000000000001E-2</v>
      </c>
      <c r="F19" s="118"/>
      <c r="G19" s="110"/>
      <c r="H19" s="110"/>
      <c r="I19" s="111"/>
      <c r="J19" s="110"/>
      <c r="K19" s="110"/>
    </row>
    <row r="20" spans="1:12" ht="18" customHeight="1" thickBot="1" x14ac:dyDescent="0.25">
      <c r="A20" s="119" t="s">
        <v>1113</v>
      </c>
      <c r="B20" s="119" t="s">
        <v>1220</v>
      </c>
      <c r="C20" s="116">
        <v>0.18889024170130791</v>
      </c>
      <c r="D20" s="117">
        <f>'3_Summary'!H7</f>
        <v>0.26540000000000002</v>
      </c>
      <c r="F20" s="118"/>
      <c r="G20" s="110"/>
      <c r="H20" s="110"/>
      <c r="I20" s="111"/>
      <c r="J20" s="110"/>
      <c r="K20" s="110"/>
    </row>
    <row r="21" spans="1:12" ht="18" customHeight="1" thickBot="1" x14ac:dyDescent="0.25">
      <c r="A21" s="115" t="s">
        <v>1114</v>
      </c>
      <c r="B21" s="115" t="s">
        <v>1223</v>
      </c>
      <c r="C21" s="116">
        <v>0</v>
      </c>
      <c r="D21" s="117">
        <f>'3_Summary'!H8</f>
        <v>-6.3799999999999996E-2</v>
      </c>
      <c r="F21" s="118"/>
      <c r="G21" s="110"/>
      <c r="H21" s="110"/>
      <c r="I21" s="111"/>
      <c r="J21" s="110"/>
      <c r="K21" s="110"/>
    </row>
    <row r="22" spans="1:12" ht="18" customHeight="1" thickBot="1" x14ac:dyDescent="0.25">
      <c r="A22" s="119" t="s">
        <v>1115</v>
      </c>
      <c r="B22" s="119" t="s">
        <v>1226</v>
      </c>
      <c r="C22" s="116">
        <v>0</v>
      </c>
      <c r="D22" s="117">
        <f>'3_Summary'!H9</f>
        <v>6.8500000000000005E-2</v>
      </c>
      <c r="F22" s="118"/>
      <c r="G22" s="110"/>
      <c r="H22" s="110"/>
      <c r="I22" s="111"/>
      <c r="J22" s="110"/>
      <c r="K22" s="110"/>
    </row>
    <row r="23" spans="1:12" ht="18" customHeight="1" thickBot="1" x14ac:dyDescent="0.25">
      <c r="A23" s="115" t="s">
        <v>1116</v>
      </c>
      <c r="B23" s="115" t="s">
        <v>1229</v>
      </c>
      <c r="C23" s="116">
        <v>0.16939902759414494</v>
      </c>
      <c r="D23" s="117">
        <f>'3_Summary'!H10</f>
        <v>7.4999999999999997E-2</v>
      </c>
      <c r="F23" s="118"/>
      <c r="G23" s="110"/>
      <c r="H23" s="110"/>
      <c r="I23" s="111"/>
      <c r="J23" s="110"/>
      <c r="K23" s="110"/>
    </row>
    <row r="24" spans="1:12" ht="18" customHeight="1" thickBot="1" x14ac:dyDescent="0.25">
      <c r="A24" s="119" t="s">
        <v>1117</v>
      </c>
      <c r="B24" s="119" t="s">
        <v>1232</v>
      </c>
      <c r="C24" s="116">
        <v>0</v>
      </c>
      <c r="D24" s="117">
        <f>'3_Summary'!H11</f>
        <v>7.6700000000000004E-2</v>
      </c>
      <c r="F24" s="118"/>
      <c r="G24" s="110"/>
      <c r="H24" s="110"/>
      <c r="I24" s="111"/>
      <c r="J24" s="110"/>
      <c r="K24" s="110"/>
    </row>
    <row r="25" spans="1:12" ht="18" customHeight="1" thickBot="1" x14ac:dyDescent="0.25">
      <c r="A25" s="115" t="s">
        <v>1118</v>
      </c>
      <c r="B25" s="115" t="s">
        <v>1235</v>
      </c>
      <c r="C25" s="116">
        <v>0</v>
      </c>
      <c r="D25" s="117">
        <f>'3_Summary'!H12</f>
        <v>4.9599999999999998E-2</v>
      </c>
      <c r="F25" s="118"/>
      <c r="G25" s="110"/>
      <c r="H25" s="110"/>
      <c r="I25" s="111"/>
      <c r="J25" s="110"/>
      <c r="K25" s="110"/>
    </row>
    <row r="26" spans="1:12" ht="18" customHeight="1" thickBot="1" x14ac:dyDescent="0.25">
      <c r="A26" s="119" t="s">
        <v>1119</v>
      </c>
      <c r="B26" s="119" t="s">
        <v>1238</v>
      </c>
      <c r="C26" s="116">
        <v>0.64171073070454709</v>
      </c>
      <c r="D26" s="117">
        <f>'3_Summary'!H13</f>
        <v>0.15240000000000001</v>
      </c>
      <c r="F26" s="118"/>
      <c r="G26" s="110"/>
      <c r="H26" s="110"/>
      <c r="I26" s="111"/>
      <c r="J26" s="110"/>
      <c r="K26" s="110"/>
    </row>
    <row r="27" spans="1:12" ht="18" customHeight="1" thickBot="1" x14ac:dyDescent="0.25">
      <c r="A27" s="115" t="s">
        <v>1120</v>
      </c>
      <c r="B27" s="115" t="s">
        <v>1241</v>
      </c>
      <c r="C27" s="116">
        <v>0</v>
      </c>
      <c r="D27" s="117">
        <f>'3_Summary'!H14</f>
        <v>-8.6800000000000002E-2</v>
      </c>
      <c r="F27" s="118"/>
      <c r="G27" s="110"/>
      <c r="H27" s="110"/>
      <c r="I27" s="111"/>
      <c r="J27" s="110"/>
      <c r="K27" s="110"/>
    </row>
    <row r="28" spans="1:12" ht="18" customHeight="1" thickBot="1" x14ac:dyDescent="0.25">
      <c r="A28" s="119" t="s">
        <v>1121</v>
      </c>
      <c r="B28" s="119" t="s">
        <v>1244</v>
      </c>
      <c r="C28" s="116">
        <f>1-SUM(C19:C27)</f>
        <v>0</v>
      </c>
      <c r="D28" s="117">
        <f>'3_Summary'!H15</f>
        <v>2.98E-2</v>
      </c>
      <c r="F28" s="118"/>
      <c r="G28" s="110"/>
      <c r="H28" s="110"/>
      <c r="I28" s="111"/>
      <c r="J28" s="110"/>
      <c r="K28" s="110"/>
    </row>
    <row r="29" spans="1:12" ht="19.5" customHeight="1" thickBot="1" x14ac:dyDescent="0.25">
      <c r="A29" s="131" t="s">
        <v>1370</v>
      </c>
      <c r="B29" s="132"/>
      <c r="C29" s="120">
        <f>SUM(C19:C28)</f>
        <v>1</v>
      </c>
      <c r="D29" s="121"/>
    </row>
    <row r="31" spans="1:12" ht="21.75" customHeight="1" x14ac:dyDescent="0.2">
      <c r="A31" s="133" t="s">
        <v>1371</v>
      </c>
      <c r="B31" s="134"/>
      <c r="C31" s="134"/>
      <c r="D31" s="134"/>
      <c r="E31" s="134"/>
      <c r="F31" s="134"/>
      <c r="G31" s="134"/>
      <c r="H31" s="134"/>
      <c r="I31" s="134"/>
      <c r="J31" s="134"/>
      <c r="K31" s="134"/>
      <c r="L31" s="134"/>
    </row>
    <row r="32" spans="1:12" ht="49.5" customHeight="1" x14ac:dyDescent="0.2">
      <c r="A32" s="122" t="s">
        <v>1372</v>
      </c>
      <c r="B32" s="123" t="s">
        <v>1373</v>
      </c>
      <c r="C32" s="123" t="s">
        <v>1374</v>
      </c>
      <c r="D32" s="123" t="s">
        <v>1375</v>
      </c>
      <c r="E32" s="123" t="s">
        <v>1376</v>
      </c>
      <c r="F32" s="123" t="s">
        <v>1377</v>
      </c>
      <c r="G32" s="123" t="s">
        <v>1378</v>
      </c>
      <c r="H32" s="123" t="s">
        <v>1118</v>
      </c>
      <c r="I32" s="123" t="s">
        <v>1379</v>
      </c>
      <c r="J32" s="123" t="s">
        <v>1380</v>
      </c>
      <c r="K32" s="123" t="s">
        <v>1381</v>
      </c>
    </row>
    <row r="33" spans="1:11" ht="18" customHeight="1" x14ac:dyDescent="0.2">
      <c r="A33" s="124" t="s">
        <v>1112</v>
      </c>
      <c r="B33" s="125">
        <f>'6_Statistics'!B17</f>
        <v>2.3159999999999999E-3</v>
      </c>
      <c r="C33" s="125">
        <f>'6_Statistics'!C17</f>
        <v>7.1459999999999996E-3</v>
      </c>
      <c r="D33" s="125">
        <f>'6_Statistics'!D17</f>
        <v>2.1540000000000001E-3</v>
      </c>
      <c r="E33" s="125">
        <f>'6_Statistics'!E17</f>
        <v>4.6379999999999998E-3</v>
      </c>
      <c r="F33" s="125">
        <f>'6_Statistics'!F17</f>
        <v>2.3640000000000002E-3</v>
      </c>
      <c r="G33" s="125">
        <f>'6_Statistics'!G17</f>
        <v>2.1380000000000001E-3</v>
      </c>
      <c r="H33" s="125">
        <f>'6_Statistics'!H17</f>
        <v>5.2830000000000004E-3</v>
      </c>
      <c r="I33" s="125">
        <f>'6_Statistics'!I17</f>
        <v>4.2139999999999999E-3</v>
      </c>
      <c r="J33" s="125">
        <f>'6_Statistics'!J17</f>
        <v>5.2919999999999998E-3</v>
      </c>
      <c r="K33" s="125">
        <f>'6_Statistics'!K17</f>
        <v>1.9629999999999999E-3</v>
      </c>
    </row>
    <row r="34" spans="1:11" ht="18" customHeight="1" x14ac:dyDescent="0.2">
      <c r="A34" s="124" t="s">
        <v>1113</v>
      </c>
      <c r="B34" s="126">
        <f>'6_Statistics'!B18</f>
        <v>7.1459999999999996E-3</v>
      </c>
      <c r="C34" s="126">
        <f>'6_Statistics'!C18</f>
        <v>0.111097</v>
      </c>
      <c r="D34" s="126">
        <f>'6_Statistics'!D18</f>
        <v>8.2159999999999993E-3</v>
      </c>
      <c r="E34" s="126">
        <f>'6_Statistics'!E18</f>
        <v>3.2099999999999997E-2</v>
      </c>
      <c r="F34" s="126">
        <f>'6_Statistics'!F18</f>
        <v>1.2258E-2</v>
      </c>
      <c r="G34" s="126">
        <f>'6_Statistics'!G18</f>
        <v>2.0331999999999999E-2</v>
      </c>
      <c r="H34" s="126">
        <f>'6_Statistics'!H18</f>
        <v>3.7053000000000003E-2</v>
      </c>
      <c r="I34" s="126">
        <f>'6_Statistics'!I18</f>
        <v>3.0616999999999998E-2</v>
      </c>
      <c r="J34" s="126">
        <f>'6_Statistics'!J18</f>
        <v>3.0099999999999998E-2</v>
      </c>
      <c r="K34" s="126">
        <f>'6_Statistics'!K18</f>
        <v>8.0319999999999992E-3</v>
      </c>
    </row>
    <row r="35" spans="1:11" ht="18" customHeight="1" x14ac:dyDescent="0.2">
      <c r="A35" s="124" t="s">
        <v>1114</v>
      </c>
      <c r="B35" s="125">
        <f>'6_Statistics'!B19</f>
        <v>2.1540000000000001E-3</v>
      </c>
      <c r="C35" s="125">
        <f>'6_Statistics'!C19</f>
        <v>8.2159999999999993E-3</v>
      </c>
      <c r="D35" s="125">
        <f>'6_Statistics'!D19</f>
        <v>5.9569999999999996E-3</v>
      </c>
      <c r="E35" s="125">
        <f>'6_Statistics'!E19</f>
        <v>9.0039999999999999E-3</v>
      </c>
      <c r="F35" s="125">
        <f>'6_Statistics'!F19</f>
        <v>3.4199999999999999E-3</v>
      </c>
      <c r="G35" s="125">
        <f>'6_Statistics'!G19</f>
        <v>2.761E-3</v>
      </c>
      <c r="H35" s="125">
        <f>'6_Statistics'!H19</f>
        <v>9.5569999999999995E-3</v>
      </c>
      <c r="I35" s="125">
        <f>'6_Statistics'!I19</f>
        <v>5.6259999999999999E-3</v>
      </c>
      <c r="J35" s="125">
        <f>'6_Statistics'!J19</f>
        <v>8.4110000000000001E-3</v>
      </c>
      <c r="K35" s="125">
        <f>'6_Statistics'!K19</f>
        <v>2.9350000000000001E-3</v>
      </c>
    </row>
    <row r="36" spans="1:11" ht="18" customHeight="1" x14ac:dyDescent="0.2">
      <c r="A36" s="124" t="s">
        <v>1115</v>
      </c>
      <c r="B36" s="126">
        <f>'6_Statistics'!B20</f>
        <v>4.6379999999999998E-3</v>
      </c>
      <c r="C36" s="126">
        <f>'6_Statistics'!C20</f>
        <v>3.2099999999999997E-2</v>
      </c>
      <c r="D36" s="126">
        <f>'6_Statistics'!D20</f>
        <v>9.0039999999999999E-3</v>
      </c>
      <c r="E36" s="126">
        <f>'6_Statistics'!E20</f>
        <v>3.4146999999999997E-2</v>
      </c>
      <c r="F36" s="126">
        <f>'6_Statistics'!F20</f>
        <v>1.0808999999999999E-2</v>
      </c>
      <c r="G36" s="126">
        <f>'6_Statistics'!G20</f>
        <v>1.2008E-2</v>
      </c>
      <c r="H36" s="126">
        <f>'6_Statistics'!H20</f>
        <v>3.2895000000000001E-2</v>
      </c>
      <c r="I36" s="126">
        <f>'6_Statistics'!I20</f>
        <v>2.1194999999999999E-2</v>
      </c>
      <c r="J36" s="126">
        <f>'6_Statistics'!J20</f>
        <v>2.3703999999999999E-2</v>
      </c>
      <c r="K36" s="126">
        <f>'6_Statistics'!K20</f>
        <v>6.7089999999999997E-3</v>
      </c>
    </row>
    <row r="37" spans="1:11" ht="18" customHeight="1" x14ac:dyDescent="0.2">
      <c r="A37" s="124" t="s">
        <v>1116</v>
      </c>
      <c r="B37" s="125">
        <f>'6_Statistics'!B21</f>
        <v>2.3640000000000002E-3</v>
      </c>
      <c r="C37" s="125">
        <f>'6_Statistics'!C21</f>
        <v>1.2258E-2</v>
      </c>
      <c r="D37" s="125">
        <f>'6_Statistics'!D21</f>
        <v>3.4199999999999999E-3</v>
      </c>
      <c r="E37" s="125">
        <f>'6_Statistics'!E21</f>
        <v>1.0808999999999999E-2</v>
      </c>
      <c r="F37" s="125">
        <f>'6_Statistics'!F21</f>
        <v>1.7191000000000001E-2</v>
      </c>
      <c r="G37" s="125">
        <f>'6_Statistics'!G21</f>
        <v>1.4643E-2</v>
      </c>
      <c r="H37" s="125">
        <f>'6_Statistics'!H21</f>
        <v>1.6192000000000002E-2</v>
      </c>
      <c r="I37" s="125">
        <f>'6_Statistics'!I21</f>
        <v>1.1106E-2</v>
      </c>
      <c r="J37" s="125">
        <f>'6_Statistics'!J21</f>
        <v>9.443E-3</v>
      </c>
      <c r="K37" s="125">
        <f>'6_Statistics'!K21</f>
        <v>4.9540000000000001E-3</v>
      </c>
    </row>
    <row r="38" spans="1:11" ht="18" customHeight="1" x14ac:dyDescent="0.2">
      <c r="A38" s="124" t="s">
        <v>1117</v>
      </c>
      <c r="B38" s="126">
        <f>'6_Statistics'!B22</f>
        <v>2.1380000000000001E-3</v>
      </c>
      <c r="C38" s="126">
        <f>'6_Statistics'!C22</f>
        <v>2.0331999999999999E-2</v>
      </c>
      <c r="D38" s="126">
        <f>'6_Statistics'!D22</f>
        <v>2.761E-3</v>
      </c>
      <c r="E38" s="126">
        <f>'6_Statistics'!E22</f>
        <v>1.2008E-2</v>
      </c>
      <c r="F38" s="126">
        <f>'6_Statistics'!F22</f>
        <v>1.4643E-2</v>
      </c>
      <c r="G38" s="126">
        <f>'6_Statistics'!G22</f>
        <v>1.9262000000000001E-2</v>
      </c>
      <c r="H38" s="126">
        <f>'6_Statistics'!H22</f>
        <v>1.5764E-2</v>
      </c>
      <c r="I38" s="126">
        <f>'6_Statistics'!I22</f>
        <v>1.3750999999999999E-2</v>
      </c>
      <c r="J38" s="126">
        <f>'6_Statistics'!J22</f>
        <v>1.1577E-2</v>
      </c>
      <c r="K38" s="126">
        <f>'6_Statistics'!K22</f>
        <v>5.0889999999999998E-3</v>
      </c>
    </row>
    <row r="39" spans="1:11" ht="18" customHeight="1" x14ac:dyDescent="0.2">
      <c r="A39" s="124" t="s">
        <v>1118</v>
      </c>
      <c r="B39" s="125">
        <f>'6_Statistics'!B23</f>
        <v>5.2830000000000004E-3</v>
      </c>
      <c r="C39" s="125">
        <f>'6_Statistics'!C23</f>
        <v>3.7053000000000003E-2</v>
      </c>
      <c r="D39" s="125">
        <f>'6_Statistics'!D23</f>
        <v>9.5569999999999995E-3</v>
      </c>
      <c r="E39" s="125">
        <f>'6_Statistics'!E23</f>
        <v>3.2895000000000001E-2</v>
      </c>
      <c r="F39" s="125">
        <f>'6_Statistics'!F23</f>
        <v>1.6192000000000002E-2</v>
      </c>
      <c r="G39" s="125">
        <f>'6_Statistics'!G23</f>
        <v>1.5764E-2</v>
      </c>
      <c r="H39" s="125">
        <f>'6_Statistics'!H23</f>
        <v>3.8771E-2</v>
      </c>
      <c r="I39" s="125">
        <f>'6_Statistics'!I23</f>
        <v>2.2512000000000001E-2</v>
      </c>
      <c r="J39" s="125">
        <f>'6_Statistics'!J23</f>
        <v>2.3903000000000001E-2</v>
      </c>
      <c r="K39" s="125">
        <f>'6_Statistics'!K23</f>
        <v>8.1849999999999996E-3</v>
      </c>
    </row>
    <row r="40" spans="1:11" ht="18" customHeight="1" x14ac:dyDescent="0.2">
      <c r="A40" s="124" t="s">
        <v>1119</v>
      </c>
      <c r="B40" s="126">
        <f>'6_Statistics'!B24</f>
        <v>4.2139999999999999E-3</v>
      </c>
      <c r="C40" s="126">
        <f>'6_Statistics'!C24</f>
        <v>3.0616999999999998E-2</v>
      </c>
      <c r="D40" s="126">
        <f>'6_Statistics'!D24</f>
        <v>5.6259999999999999E-3</v>
      </c>
      <c r="E40" s="126">
        <f>'6_Statistics'!E24</f>
        <v>2.1194999999999999E-2</v>
      </c>
      <c r="F40" s="126">
        <f>'6_Statistics'!F24</f>
        <v>1.1106E-2</v>
      </c>
      <c r="G40" s="126">
        <f>'6_Statistics'!G24</f>
        <v>1.3750999999999999E-2</v>
      </c>
      <c r="H40" s="126">
        <f>'6_Statistics'!H24</f>
        <v>2.2512000000000001E-2</v>
      </c>
      <c r="I40" s="126">
        <f>'6_Statistics'!I24</f>
        <v>2.6535E-2</v>
      </c>
      <c r="J40" s="126">
        <f>'6_Statistics'!J24</f>
        <v>1.9820000000000001E-2</v>
      </c>
      <c r="K40" s="126">
        <f>'6_Statistics'!K24</f>
        <v>6.5199999999999998E-3</v>
      </c>
    </row>
    <row r="41" spans="1:11" ht="18" customHeight="1" x14ac:dyDescent="0.2">
      <c r="A41" s="124" t="s">
        <v>1120</v>
      </c>
      <c r="B41" s="125">
        <f>'6_Statistics'!B25</f>
        <v>5.2919999999999998E-3</v>
      </c>
      <c r="C41" s="125">
        <f>'6_Statistics'!C25</f>
        <v>3.0099999999999998E-2</v>
      </c>
      <c r="D41" s="125">
        <f>'6_Statistics'!D25</f>
        <v>8.4110000000000001E-3</v>
      </c>
      <c r="E41" s="125">
        <f>'6_Statistics'!E25</f>
        <v>2.3703999999999999E-2</v>
      </c>
      <c r="F41" s="125">
        <f>'6_Statistics'!F25</f>
        <v>9.443E-3</v>
      </c>
      <c r="G41" s="125">
        <f>'6_Statistics'!G25</f>
        <v>1.1577E-2</v>
      </c>
      <c r="H41" s="125">
        <f>'6_Statistics'!H25</f>
        <v>2.3903000000000001E-2</v>
      </c>
      <c r="I41" s="125">
        <f>'6_Statistics'!I25</f>
        <v>1.9820000000000001E-2</v>
      </c>
      <c r="J41" s="125">
        <f>'6_Statistics'!J25</f>
        <v>2.9069000000000001E-2</v>
      </c>
      <c r="K41" s="125">
        <f>'6_Statistics'!K25</f>
        <v>7.1040000000000001E-3</v>
      </c>
    </row>
    <row r="42" spans="1:11" ht="18" customHeight="1" x14ac:dyDescent="0.2">
      <c r="A42" s="124" t="s">
        <v>1121</v>
      </c>
      <c r="B42" s="126">
        <f>'6_Statistics'!B26</f>
        <v>1.9629999999999999E-3</v>
      </c>
      <c r="C42" s="126">
        <f>'6_Statistics'!C26</f>
        <v>8.0319999999999992E-3</v>
      </c>
      <c r="D42" s="126">
        <f>'6_Statistics'!D26</f>
        <v>2.9350000000000001E-3</v>
      </c>
      <c r="E42" s="126">
        <f>'6_Statistics'!E26</f>
        <v>6.7089999999999997E-3</v>
      </c>
      <c r="F42" s="126">
        <f>'6_Statistics'!F26</f>
        <v>4.9540000000000001E-3</v>
      </c>
      <c r="G42" s="126">
        <f>'6_Statistics'!G26</f>
        <v>5.0889999999999998E-3</v>
      </c>
      <c r="H42" s="126">
        <f>'6_Statistics'!H26</f>
        <v>8.1849999999999996E-3</v>
      </c>
      <c r="I42" s="126">
        <f>'6_Statistics'!I26</f>
        <v>6.5199999999999998E-3</v>
      </c>
      <c r="J42" s="126">
        <f>'6_Statistics'!J26</f>
        <v>7.1040000000000001E-3</v>
      </c>
      <c r="K42" s="126">
        <f>'6_Statistics'!K26</f>
        <v>3.2880000000000001E-3</v>
      </c>
    </row>
  </sheetData>
  <mergeCells count="22">
    <mergeCell ref="C6:D6"/>
    <mergeCell ref="A1:L1"/>
    <mergeCell ref="A2:L2"/>
    <mergeCell ref="A4:D4"/>
    <mergeCell ref="F4:L4"/>
    <mergeCell ref="C5:D5"/>
    <mergeCell ref="C7:D7"/>
    <mergeCell ref="A9:D9"/>
    <mergeCell ref="A11:D11"/>
    <mergeCell ref="F11:L11"/>
    <mergeCell ref="C12:D12"/>
    <mergeCell ref="F12:G12"/>
    <mergeCell ref="A17:D17"/>
    <mergeCell ref="F17:L17"/>
    <mergeCell ref="A29:B29"/>
    <mergeCell ref="A31:L31"/>
    <mergeCell ref="C13:D13"/>
    <mergeCell ref="F13:G13"/>
    <mergeCell ref="C14:D14"/>
    <mergeCell ref="F14:G14"/>
    <mergeCell ref="C15:D15"/>
    <mergeCell ref="F15:G15"/>
  </mergeCells>
  <dataValidations count="1">
    <dataValidation type="list" showInputMessage="1" showErrorMessage="1" sqref="B6" xr:uid="{D9FDD314-9C7E-CA47-AD8B-2247000062B7}">
      <formula1>"Yes,No"</formula1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CalcMVPButton">
              <controlPr defaultSize="0" print="0" autoFill="0" autoPict="0" macro="[0]!CalculateMVP">
                <anchor moveWithCells="1" sizeWithCells="1">
                  <from>
                    <xdr:col>1</xdr:col>
                    <xdr:colOff>698500</xdr:colOff>
                    <xdr:row>8</xdr:row>
                    <xdr:rowOff>101600</xdr:rowOff>
                  </from>
                  <to>
                    <xdr:col>3</xdr:col>
                    <xdr:colOff>88900</xdr:colOff>
                    <xdr:row>9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719E7-E07B-4038-A058-7FA4A9CD1E7B}">
  <sheetPr codeName="Sheet11"/>
  <dimension ref="A1:H16"/>
  <sheetViews>
    <sheetView workbookViewId="0">
      <selection sqref="A1:H1"/>
    </sheetView>
  </sheetViews>
  <sheetFormatPr baseColWidth="10" defaultColWidth="8.6640625" defaultRowHeight="15" x14ac:dyDescent="0.2"/>
  <cols>
    <col min="1" max="1" width="8" style="51" customWidth="1"/>
    <col min="2" max="2" width="30" style="51" customWidth="1"/>
    <col min="3" max="3" width="8" style="51" customWidth="1"/>
    <col min="4" max="4" width="18" style="51" customWidth="1"/>
    <col min="5" max="5" width="8.6640625" style="51"/>
    <col min="6" max="6" width="24" style="51" customWidth="1"/>
    <col min="7" max="7" width="20" style="51" customWidth="1"/>
    <col min="8" max="8" width="14" style="51" customWidth="1"/>
    <col min="9" max="16384" width="8.6640625" style="51"/>
  </cols>
  <sheetData>
    <row r="1" spans="1:8" ht="31.5" customHeight="1" x14ac:dyDescent="0.2">
      <c r="A1" s="138" t="s">
        <v>1209</v>
      </c>
      <c r="B1" s="134"/>
      <c r="C1" s="134"/>
      <c r="D1" s="134"/>
      <c r="E1" s="134"/>
      <c r="F1" s="134"/>
      <c r="G1" s="134"/>
      <c r="H1" s="134"/>
    </row>
    <row r="2" spans="1:8" ht="15" customHeight="1" x14ac:dyDescent="0.2">
      <c r="A2" s="150" t="s">
        <v>1210</v>
      </c>
      <c r="B2" s="134"/>
      <c r="C2" s="134"/>
      <c r="D2" s="134"/>
      <c r="E2" s="134"/>
      <c r="F2" s="134"/>
      <c r="G2" s="134"/>
      <c r="H2" s="134"/>
    </row>
    <row r="4" spans="1:8" ht="15" customHeight="1" x14ac:dyDescent="0.2">
      <c r="A4" s="151" t="s">
        <v>1211</v>
      </c>
      <c r="B4" s="134"/>
      <c r="C4" s="134"/>
      <c r="D4" s="134"/>
      <c r="F4" s="151" t="s">
        <v>1212</v>
      </c>
      <c r="G4" s="134"/>
      <c r="H4" s="134"/>
    </row>
    <row r="5" spans="1:8" x14ac:dyDescent="0.2">
      <c r="B5" s="52" t="s">
        <v>1213</v>
      </c>
      <c r="D5" s="53" t="s">
        <v>1214</v>
      </c>
      <c r="F5" s="54" t="s">
        <v>1109</v>
      </c>
      <c r="G5" s="54" t="s">
        <v>7</v>
      </c>
      <c r="H5" s="54" t="s">
        <v>1215</v>
      </c>
    </row>
    <row r="6" spans="1:8" x14ac:dyDescent="0.2">
      <c r="B6" s="55" t="s">
        <v>1216</v>
      </c>
      <c r="D6" s="56" t="s">
        <v>1217</v>
      </c>
      <c r="F6" s="57" t="s">
        <v>1112</v>
      </c>
      <c r="G6" s="58" t="s">
        <v>1218</v>
      </c>
      <c r="H6" s="59">
        <v>2.3300000000000001E-2</v>
      </c>
    </row>
    <row r="7" spans="1:8" x14ac:dyDescent="0.2">
      <c r="B7" s="52" t="s">
        <v>1219</v>
      </c>
      <c r="D7" s="53" t="s">
        <v>1136</v>
      </c>
      <c r="F7" s="60" t="s">
        <v>1113</v>
      </c>
      <c r="G7" s="61" t="s">
        <v>1220</v>
      </c>
      <c r="H7" s="62">
        <v>0.26540000000000002</v>
      </c>
    </row>
    <row r="8" spans="1:8" x14ac:dyDescent="0.2">
      <c r="B8" s="55" t="s">
        <v>1221</v>
      </c>
      <c r="D8" s="56" t="s">
        <v>1222</v>
      </c>
      <c r="F8" s="57" t="s">
        <v>1114</v>
      </c>
      <c r="G8" s="58" t="s">
        <v>1223</v>
      </c>
      <c r="H8" s="63">
        <v>-6.3799999999999996E-2</v>
      </c>
    </row>
    <row r="9" spans="1:8" x14ac:dyDescent="0.2">
      <c r="B9" s="52" t="s">
        <v>1224</v>
      </c>
      <c r="D9" s="53" t="s">
        <v>1225</v>
      </c>
      <c r="F9" s="60" t="s">
        <v>1115</v>
      </c>
      <c r="G9" s="61" t="s">
        <v>1226</v>
      </c>
      <c r="H9" s="62">
        <v>6.8500000000000005E-2</v>
      </c>
    </row>
    <row r="10" spans="1:8" x14ac:dyDescent="0.2">
      <c r="B10" s="55" t="s">
        <v>1227</v>
      </c>
      <c r="D10" s="56" t="s">
        <v>1228</v>
      </c>
      <c r="F10" s="57" t="s">
        <v>1116</v>
      </c>
      <c r="G10" s="58" t="s">
        <v>1229</v>
      </c>
      <c r="H10" s="59">
        <v>7.4999999999999997E-2</v>
      </c>
    </row>
    <row r="11" spans="1:8" x14ac:dyDescent="0.2">
      <c r="B11" s="52" t="s">
        <v>1230</v>
      </c>
      <c r="D11" s="53" t="s">
        <v>1231</v>
      </c>
      <c r="F11" s="60" t="s">
        <v>1117</v>
      </c>
      <c r="G11" s="61" t="s">
        <v>1232</v>
      </c>
      <c r="H11" s="62">
        <v>7.6700000000000004E-2</v>
      </c>
    </row>
    <row r="12" spans="1:8" x14ac:dyDescent="0.2">
      <c r="B12" s="55" t="s">
        <v>1233</v>
      </c>
      <c r="D12" s="56" t="s">
        <v>1234</v>
      </c>
      <c r="F12" s="57" t="s">
        <v>1118</v>
      </c>
      <c r="G12" s="58" t="s">
        <v>1235</v>
      </c>
      <c r="H12" s="59">
        <v>4.9599999999999998E-2</v>
      </c>
    </row>
    <row r="13" spans="1:8" x14ac:dyDescent="0.2">
      <c r="B13" s="52" t="s">
        <v>1236</v>
      </c>
      <c r="D13" s="53" t="s">
        <v>1237</v>
      </c>
      <c r="F13" s="60" t="s">
        <v>1119</v>
      </c>
      <c r="G13" s="61" t="s">
        <v>1238</v>
      </c>
      <c r="H13" s="62">
        <v>0.15240000000000001</v>
      </c>
    </row>
    <row r="14" spans="1:8" x14ac:dyDescent="0.2">
      <c r="B14" s="55" t="s">
        <v>1239</v>
      </c>
      <c r="D14" s="56" t="s">
        <v>1240</v>
      </c>
      <c r="F14" s="57" t="s">
        <v>1120</v>
      </c>
      <c r="G14" s="58" t="s">
        <v>1241</v>
      </c>
      <c r="H14" s="63">
        <v>-8.6800000000000002E-2</v>
      </c>
    </row>
    <row r="15" spans="1:8" x14ac:dyDescent="0.2">
      <c r="B15" s="52" t="s">
        <v>1242</v>
      </c>
      <c r="D15" s="53" t="s">
        <v>1243</v>
      </c>
      <c r="F15" s="60" t="s">
        <v>1121</v>
      </c>
      <c r="G15" s="61" t="s">
        <v>1244</v>
      </c>
      <c r="H15" s="62">
        <v>2.98E-2</v>
      </c>
    </row>
    <row r="16" spans="1:8" x14ac:dyDescent="0.2">
      <c r="B16" s="55" t="s">
        <v>1245</v>
      </c>
      <c r="D16" s="56" t="s">
        <v>1246</v>
      </c>
    </row>
  </sheetData>
  <mergeCells count="4">
    <mergeCell ref="A1:H1"/>
    <mergeCell ref="A2:H2"/>
    <mergeCell ref="A4:D4"/>
    <mergeCell ref="F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CAACA-A08E-4F18-B67E-5DDFB920D2A6}">
  <sheetPr codeName="Sheet12"/>
  <dimension ref="A1:K65"/>
  <sheetViews>
    <sheetView workbookViewId="0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2" t="s">
        <v>1247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11" ht="18" customHeight="1" x14ac:dyDescent="0.2">
      <c r="A2" s="153" t="s">
        <v>1248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</row>
    <row r="3" spans="1:11" x14ac:dyDescent="0.2">
      <c r="A3" s="54" t="s">
        <v>1249</v>
      </c>
      <c r="B3" s="54" t="s">
        <v>1112</v>
      </c>
      <c r="C3" s="54" t="s">
        <v>1113</v>
      </c>
      <c r="D3" s="54" t="s">
        <v>1114</v>
      </c>
      <c r="E3" s="54" t="s">
        <v>1115</v>
      </c>
      <c r="F3" s="54" t="s">
        <v>1116</v>
      </c>
      <c r="G3" s="54" t="s">
        <v>1117</v>
      </c>
      <c r="H3" s="54" t="s">
        <v>1118</v>
      </c>
      <c r="I3" s="54" t="s">
        <v>1119</v>
      </c>
      <c r="J3" s="54" t="s">
        <v>1120</v>
      </c>
      <c r="K3" s="54" t="s">
        <v>1121</v>
      </c>
    </row>
    <row r="4" spans="1:11" ht="30" customHeight="1" x14ac:dyDescent="0.2">
      <c r="A4" s="64" t="s">
        <v>1250</v>
      </c>
      <c r="B4" s="65" t="s">
        <v>1251</v>
      </c>
      <c r="C4" s="65" t="s">
        <v>1252</v>
      </c>
      <c r="D4" s="65" t="s">
        <v>1253</v>
      </c>
      <c r="E4" s="65" t="s">
        <v>1254</v>
      </c>
      <c r="F4" s="65" t="s">
        <v>1255</v>
      </c>
      <c r="G4" s="65" t="s">
        <v>1256</v>
      </c>
      <c r="H4" s="65" t="s">
        <v>1257</v>
      </c>
      <c r="I4" s="65" t="s">
        <v>1258</v>
      </c>
      <c r="J4" s="65" t="s">
        <v>1259</v>
      </c>
      <c r="K4" s="65" t="s">
        <v>1260</v>
      </c>
    </row>
    <row r="5" spans="1:11" x14ac:dyDescent="0.2">
      <c r="A5" s="66" t="s">
        <v>1261</v>
      </c>
      <c r="B5" s="67">
        <v>1.62</v>
      </c>
      <c r="C5" s="67">
        <v>40.98</v>
      </c>
      <c r="D5" s="67">
        <v>11.497</v>
      </c>
      <c r="E5" s="67">
        <v>23.873000000000001</v>
      </c>
      <c r="F5" s="67">
        <v>1.782</v>
      </c>
      <c r="G5" s="67">
        <v>13.42</v>
      </c>
      <c r="H5" s="67">
        <v>27.17</v>
      </c>
      <c r="I5" s="67">
        <v>2.6379999999999999</v>
      </c>
      <c r="J5" s="67">
        <v>1.0127999999999999</v>
      </c>
      <c r="K5" s="67">
        <v>15.61</v>
      </c>
    </row>
    <row r="6" spans="1:11" x14ac:dyDescent="0.2">
      <c r="A6" s="68" t="s">
        <v>1262</v>
      </c>
      <c r="B6" s="69">
        <v>1.633</v>
      </c>
      <c r="C6" s="69">
        <v>45.77</v>
      </c>
      <c r="D6" s="69">
        <v>11.567</v>
      </c>
      <c r="E6" s="69">
        <v>23.942</v>
      </c>
      <c r="F6" s="69">
        <v>1.782</v>
      </c>
      <c r="G6" s="69">
        <v>13.81</v>
      </c>
      <c r="H6" s="69">
        <v>28.07</v>
      </c>
      <c r="I6" s="69">
        <v>2.645</v>
      </c>
      <c r="J6" s="69">
        <v>1.0048999999999999</v>
      </c>
      <c r="K6" s="69">
        <v>15.68</v>
      </c>
    </row>
    <row r="7" spans="1:11" x14ac:dyDescent="0.2">
      <c r="A7" s="66" t="s">
        <v>1263</v>
      </c>
      <c r="B7" s="67">
        <v>1.6339999999999999</v>
      </c>
      <c r="C7" s="67">
        <v>39.31</v>
      </c>
      <c r="D7" s="67">
        <v>11.593</v>
      </c>
      <c r="E7" s="67">
        <v>23.298999999999999</v>
      </c>
      <c r="F7" s="67">
        <v>1.802</v>
      </c>
      <c r="G7" s="67">
        <v>13.42</v>
      </c>
      <c r="H7" s="67">
        <v>27.83</v>
      </c>
      <c r="I7" s="67">
        <v>2.573</v>
      </c>
      <c r="J7" s="67">
        <v>1.0054000000000001</v>
      </c>
      <c r="K7" s="67">
        <v>15.73</v>
      </c>
    </row>
    <row r="8" spans="1:11" x14ac:dyDescent="0.2">
      <c r="A8" s="68" t="s">
        <v>1264</v>
      </c>
      <c r="B8" s="69">
        <v>1.651</v>
      </c>
      <c r="C8" s="69">
        <v>41</v>
      </c>
      <c r="D8" s="69">
        <v>11.321999999999999</v>
      </c>
      <c r="E8" s="69">
        <v>21.75</v>
      </c>
      <c r="F8" s="69">
        <v>1.833</v>
      </c>
      <c r="G8" s="69">
        <v>13.48</v>
      </c>
      <c r="H8" s="69">
        <v>26.45</v>
      </c>
      <c r="I8" s="69">
        <v>2.5859999999999999</v>
      </c>
      <c r="J8" s="69">
        <v>0.97960000000000003</v>
      </c>
      <c r="K8" s="69">
        <v>15.77</v>
      </c>
    </row>
    <row r="9" spans="1:11" x14ac:dyDescent="0.2">
      <c r="A9" s="66" t="s">
        <v>1265</v>
      </c>
      <c r="B9" s="67">
        <v>1.6439999999999999</v>
      </c>
      <c r="C9" s="67">
        <v>38.369999999999997</v>
      </c>
      <c r="D9" s="67">
        <v>11.496</v>
      </c>
      <c r="E9" s="67">
        <v>21.838000000000001</v>
      </c>
      <c r="F9" s="67">
        <v>1.87</v>
      </c>
      <c r="G9" s="67">
        <v>13.64</v>
      </c>
      <c r="H9" s="67">
        <v>26.82</v>
      </c>
      <c r="I9" s="67">
        <v>2.5270000000000001</v>
      </c>
      <c r="J9" s="67">
        <v>0.96479999999999999</v>
      </c>
      <c r="K9" s="67">
        <v>15.81</v>
      </c>
    </row>
    <row r="10" spans="1:11" x14ac:dyDescent="0.2">
      <c r="A10" s="68" t="s">
        <v>1266</v>
      </c>
      <c r="B10" s="69">
        <v>1.629</v>
      </c>
      <c r="C10" s="69">
        <v>34.85</v>
      </c>
      <c r="D10" s="69">
        <v>11.189</v>
      </c>
      <c r="E10" s="69">
        <v>21.064</v>
      </c>
      <c r="F10" s="69">
        <v>1.8029999999999999</v>
      </c>
      <c r="G10" s="69">
        <v>13.3</v>
      </c>
      <c r="H10" s="69">
        <v>25.76</v>
      </c>
      <c r="I10" s="69">
        <v>2.5190000000000001</v>
      </c>
      <c r="J10" s="69">
        <v>0.92410000000000003</v>
      </c>
      <c r="K10" s="69">
        <v>15.78</v>
      </c>
    </row>
    <row r="11" spans="1:11" x14ac:dyDescent="0.2">
      <c r="A11" s="66" t="s">
        <v>1267</v>
      </c>
      <c r="B11" s="67">
        <v>1.607</v>
      </c>
      <c r="C11" s="67">
        <v>38.630000000000003</v>
      </c>
      <c r="D11" s="67">
        <v>10.77</v>
      </c>
      <c r="E11" s="67">
        <v>21.346</v>
      </c>
      <c r="F11" s="67">
        <v>1.859</v>
      </c>
      <c r="G11" s="67">
        <v>13.82</v>
      </c>
      <c r="H11" s="67">
        <v>26.49</v>
      </c>
      <c r="I11" s="67">
        <v>2.6120000000000001</v>
      </c>
      <c r="J11" s="67">
        <v>0.93830000000000002</v>
      </c>
      <c r="K11" s="67">
        <v>15.72</v>
      </c>
    </row>
    <row r="12" spans="1:11" x14ac:dyDescent="0.2">
      <c r="A12" s="68" t="s">
        <v>1268</v>
      </c>
      <c r="B12" s="69">
        <v>1.621</v>
      </c>
      <c r="C12" s="69">
        <v>39.01</v>
      </c>
      <c r="D12" s="69">
        <v>10.734</v>
      </c>
      <c r="E12" s="69">
        <v>20.143000000000001</v>
      </c>
      <c r="F12" s="69">
        <v>1.829</v>
      </c>
      <c r="G12" s="69">
        <v>13.49</v>
      </c>
      <c r="H12" s="69">
        <v>25.15</v>
      </c>
      <c r="I12" s="69">
        <v>2.46</v>
      </c>
      <c r="J12" s="69">
        <v>0.89239999999999997</v>
      </c>
      <c r="K12" s="69">
        <v>15.58</v>
      </c>
    </row>
    <row r="13" spans="1:11" x14ac:dyDescent="0.2">
      <c r="A13" s="66" t="s">
        <v>1269</v>
      </c>
      <c r="B13" s="67">
        <v>1.6160000000000001</v>
      </c>
      <c r="C13" s="67">
        <v>38.58</v>
      </c>
      <c r="D13" s="67">
        <v>10.71</v>
      </c>
      <c r="E13" s="67">
        <v>20.574999999999999</v>
      </c>
      <c r="F13" s="67">
        <v>1.8939999999999999</v>
      </c>
      <c r="G13" s="67">
        <v>14.36</v>
      </c>
      <c r="H13" s="67">
        <v>25.92</v>
      </c>
      <c r="I13" s="67">
        <v>2.57</v>
      </c>
      <c r="J13" s="67">
        <v>0.89359999999999995</v>
      </c>
      <c r="K13" s="67">
        <v>15.76</v>
      </c>
    </row>
    <row r="14" spans="1:11" x14ac:dyDescent="0.2">
      <c r="A14" s="68" t="s">
        <v>1270</v>
      </c>
      <c r="B14" s="69">
        <v>1.6080000000000001</v>
      </c>
      <c r="C14" s="69">
        <v>35.67</v>
      </c>
      <c r="D14" s="69">
        <v>10.227</v>
      </c>
      <c r="E14" s="69">
        <v>21.143000000000001</v>
      </c>
      <c r="F14" s="69">
        <v>1.79</v>
      </c>
      <c r="G14" s="69">
        <v>14.13</v>
      </c>
      <c r="H14" s="69">
        <v>24.74</v>
      </c>
      <c r="I14" s="69">
        <v>2.5419999999999998</v>
      </c>
      <c r="J14" s="69">
        <v>0.84399999999999997</v>
      </c>
      <c r="K14" s="69">
        <v>15.57</v>
      </c>
    </row>
    <row r="15" spans="1:11" x14ac:dyDescent="0.2">
      <c r="A15" s="66" t="s">
        <v>1271</v>
      </c>
      <c r="B15" s="67">
        <v>1.5960000000000001</v>
      </c>
      <c r="C15" s="67">
        <v>39.46</v>
      </c>
      <c r="D15" s="67">
        <v>9.9160000000000004</v>
      </c>
      <c r="E15" s="67">
        <v>20.623000000000001</v>
      </c>
      <c r="F15" s="67">
        <v>1.764</v>
      </c>
      <c r="G15" s="67">
        <v>14.6</v>
      </c>
      <c r="H15" s="67">
        <v>22.43</v>
      </c>
      <c r="I15" s="67">
        <v>2.5089999999999999</v>
      </c>
      <c r="J15" s="67">
        <v>0.84730000000000005</v>
      </c>
      <c r="K15" s="67">
        <v>15.16</v>
      </c>
    </row>
    <row r="16" spans="1:11" x14ac:dyDescent="0.2">
      <c r="A16" s="68" t="s">
        <v>1272</v>
      </c>
      <c r="B16" s="69">
        <v>1.554</v>
      </c>
      <c r="C16" s="69">
        <v>41.38</v>
      </c>
      <c r="D16" s="69">
        <v>9.6300000000000008</v>
      </c>
      <c r="E16" s="69">
        <v>20.056999999999999</v>
      </c>
      <c r="F16" s="69">
        <v>1.7909999999999999</v>
      </c>
      <c r="G16" s="69">
        <v>15.33</v>
      </c>
      <c r="H16" s="69">
        <v>21.27</v>
      </c>
      <c r="I16" s="69">
        <v>2.5459999999999998</v>
      </c>
      <c r="J16" s="69">
        <v>0.86309999999999998</v>
      </c>
      <c r="K16" s="69">
        <v>15</v>
      </c>
    </row>
    <row r="17" spans="1:11" x14ac:dyDescent="0.2">
      <c r="A17" s="66" t="s">
        <v>1273</v>
      </c>
      <c r="B17" s="67">
        <v>1.5389999999999999</v>
      </c>
      <c r="C17" s="67">
        <v>38.79</v>
      </c>
      <c r="D17" s="67">
        <v>9.2850000000000001</v>
      </c>
      <c r="E17" s="67">
        <v>19.388999999999999</v>
      </c>
      <c r="F17" s="67">
        <v>1.6879999999999999</v>
      </c>
      <c r="G17" s="67">
        <v>14.6</v>
      </c>
      <c r="H17" s="67">
        <v>19.510000000000002</v>
      </c>
      <c r="I17" s="67">
        <v>2.3580000000000001</v>
      </c>
      <c r="J17" s="67">
        <v>0.84519999999999995</v>
      </c>
      <c r="K17" s="67">
        <v>14.55</v>
      </c>
    </row>
    <row r="18" spans="1:11" x14ac:dyDescent="0.2">
      <c r="A18" s="68" t="s">
        <v>1274</v>
      </c>
      <c r="B18" s="69">
        <v>1.532</v>
      </c>
      <c r="C18" s="69">
        <v>35.200000000000003</v>
      </c>
      <c r="D18" s="69">
        <v>9.14</v>
      </c>
      <c r="E18" s="69">
        <v>19.466000000000001</v>
      </c>
      <c r="F18" s="69">
        <v>1.675</v>
      </c>
      <c r="G18" s="69">
        <v>14.61</v>
      </c>
      <c r="H18" s="69">
        <v>19.440000000000001</v>
      </c>
      <c r="I18" s="69">
        <v>2.2930000000000001</v>
      </c>
      <c r="J18" s="69">
        <v>0.80659999999999998</v>
      </c>
      <c r="K18" s="69">
        <v>14.63</v>
      </c>
    </row>
    <row r="19" spans="1:11" x14ac:dyDescent="0.2">
      <c r="A19" s="66" t="s">
        <v>1275</v>
      </c>
      <c r="B19" s="67">
        <v>1.512</v>
      </c>
      <c r="C19" s="67">
        <v>30.29</v>
      </c>
      <c r="D19" s="67">
        <v>8.8000000000000007</v>
      </c>
      <c r="E19" s="67">
        <v>18.648</v>
      </c>
      <c r="F19" s="67">
        <v>1.536</v>
      </c>
      <c r="G19" s="67">
        <v>13.44</v>
      </c>
      <c r="H19" s="67">
        <v>18.14</v>
      </c>
      <c r="I19" s="67">
        <v>2.1269999999999998</v>
      </c>
      <c r="J19" s="67">
        <v>0.76459999999999995</v>
      </c>
      <c r="K19" s="67">
        <v>14.1</v>
      </c>
    </row>
    <row r="20" spans="1:11" x14ac:dyDescent="0.2">
      <c r="A20" s="68" t="s">
        <v>1276</v>
      </c>
      <c r="B20" s="69">
        <v>1.5269999999999999</v>
      </c>
      <c r="C20" s="69">
        <v>28.23</v>
      </c>
      <c r="D20" s="69">
        <v>8.4979999999999993</v>
      </c>
      <c r="E20" s="69">
        <v>18.196999999999999</v>
      </c>
      <c r="F20" s="69">
        <v>1.6279999999999999</v>
      </c>
      <c r="G20" s="69">
        <v>14.01</v>
      </c>
      <c r="H20" s="69">
        <v>17.88</v>
      </c>
      <c r="I20" s="69">
        <v>2.2360000000000002</v>
      </c>
      <c r="J20" s="69">
        <v>0.77710000000000001</v>
      </c>
      <c r="K20" s="69">
        <v>14.55</v>
      </c>
    </row>
    <row r="21" spans="1:11" x14ac:dyDescent="0.2">
      <c r="A21" s="66" t="s">
        <v>1277</v>
      </c>
      <c r="B21" s="67">
        <v>1.512</v>
      </c>
      <c r="C21" s="67">
        <v>26.65</v>
      </c>
      <c r="D21" s="67">
        <v>8.5969999999999995</v>
      </c>
      <c r="E21" s="67">
        <v>18.132000000000001</v>
      </c>
      <c r="F21" s="67">
        <v>1.573</v>
      </c>
      <c r="G21" s="67">
        <v>13.82</v>
      </c>
      <c r="H21" s="67">
        <v>17.420000000000002</v>
      </c>
      <c r="I21" s="67">
        <v>2.2189999999999999</v>
      </c>
      <c r="J21" s="67">
        <v>0.74139999999999995</v>
      </c>
      <c r="K21" s="67">
        <v>14.41</v>
      </c>
    </row>
    <row r="22" spans="1:11" x14ac:dyDescent="0.2">
      <c r="A22" s="68" t="s">
        <v>1278</v>
      </c>
      <c r="B22" s="69">
        <v>1.4690000000000001</v>
      </c>
      <c r="C22" s="69">
        <v>26.31</v>
      </c>
      <c r="D22" s="69">
        <v>8.1720000000000006</v>
      </c>
      <c r="E22" s="69">
        <v>16.094000000000001</v>
      </c>
      <c r="F22" s="69">
        <v>1.458</v>
      </c>
      <c r="G22" s="69">
        <v>12.68</v>
      </c>
      <c r="H22" s="69">
        <v>15.65</v>
      </c>
      <c r="I22" s="69">
        <v>2.0870000000000002</v>
      </c>
      <c r="J22" s="69">
        <v>0.65449999999999997</v>
      </c>
      <c r="K22" s="69">
        <v>13.86</v>
      </c>
    </row>
    <row r="23" spans="1:11" x14ac:dyDescent="0.2">
      <c r="A23" s="66" t="s">
        <v>1279</v>
      </c>
      <c r="B23" s="67">
        <v>1.4750000000000001</v>
      </c>
      <c r="C23" s="67">
        <v>26.92</v>
      </c>
      <c r="D23" s="67">
        <v>7.6180000000000003</v>
      </c>
      <c r="E23" s="67">
        <v>15.112</v>
      </c>
      <c r="F23" s="67">
        <v>1.5289999999999999</v>
      </c>
      <c r="G23" s="67">
        <v>13.7</v>
      </c>
      <c r="H23" s="67">
        <v>15.27</v>
      </c>
      <c r="I23" s="67">
        <v>2.09</v>
      </c>
      <c r="J23" s="67">
        <v>0.61460000000000004</v>
      </c>
      <c r="K23" s="67">
        <v>13.95</v>
      </c>
    </row>
    <row r="24" spans="1:11" x14ac:dyDescent="0.2">
      <c r="A24" s="68" t="s">
        <v>1280</v>
      </c>
      <c r="B24" s="69">
        <v>1.5049999999999999</v>
      </c>
      <c r="C24" s="69">
        <v>31.42</v>
      </c>
      <c r="D24" s="69">
        <v>7.9989999999999997</v>
      </c>
      <c r="E24" s="69">
        <v>17.978000000000002</v>
      </c>
      <c r="F24" s="69">
        <v>1.5509999999999999</v>
      </c>
      <c r="G24" s="69">
        <v>14.02</v>
      </c>
      <c r="H24" s="69">
        <v>17.59</v>
      </c>
      <c r="I24" s="69">
        <v>2.3109999999999999</v>
      </c>
      <c r="J24" s="69">
        <v>0.69099999999999995</v>
      </c>
      <c r="K24" s="69">
        <v>14.45</v>
      </c>
    </row>
    <row r="25" spans="1:11" x14ac:dyDescent="0.2">
      <c r="A25" s="66" t="s">
        <v>1281</v>
      </c>
      <c r="B25" s="67">
        <v>1.528</v>
      </c>
      <c r="C25" s="67">
        <v>32.020000000000003</v>
      </c>
      <c r="D25" s="67">
        <v>8.1560000000000006</v>
      </c>
      <c r="E25" s="67">
        <v>18.045000000000002</v>
      </c>
      <c r="F25" s="67">
        <v>1.482</v>
      </c>
      <c r="G25" s="67">
        <v>13.57</v>
      </c>
      <c r="H25" s="67">
        <v>17.09</v>
      </c>
      <c r="I25" s="67">
        <v>2.2770000000000001</v>
      </c>
      <c r="J25" s="67">
        <v>0.70399999999999996</v>
      </c>
      <c r="K25" s="67">
        <v>14.44</v>
      </c>
    </row>
    <row r="26" spans="1:11" x14ac:dyDescent="0.2">
      <c r="A26" s="68" t="s">
        <v>1282</v>
      </c>
      <c r="B26" s="69">
        <v>1.532</v>
      </c>
      <c r="C26" s="69">
        <v>35.19</v>
      </c>
      <c r="D26" s="69">
        <v>8.3879999999999999</v>
      </c>
      <c r="E26" s="69">
        <v>19.596</v>
      </c>
      <c r="F26" s="69">
        <v>1.5569999999999999</v>
      </c>
      <c r="G26" s="69">
        <v>14.22</v>
      </c>
      <c r="H26" s="69">
        <v>18.73</v>
      </c>
      <c r="I26" s="69">
        <v>2.4409999999999998</v>
      </c>
      <c r="J26" s="69">
        <v>0.75760000000000005</v>
      </c>
      <c r="K26" s="69">
        <v>14.91</v>
      </c>
    </row>
    <row r="27" spans="1:11" x14ac:dyDescent="0.2">
      <c r="A27" s="66" t="s">
        <v>1283</v>
      </c>
      <c r="B27" s="67">
        <v>1.506</v>
      </c>
      <c r="C27" s="67">
        <v>30.81</v>
      </c>
      <c r="D27" s="67">
        <v>8.234</v>
      </c>
      <c r="E27" s="67">
        <v>18.568999999999999</v>
      </c>
      <c r="F27" s="67">
        <v>1.5669999999999999</v>
      </c>
      <c r="G27" s="67">
        <v>13.76</v>
      </c>
      <c r="H27" s="67">
        <v>17.690000000000001</v>
      </c>
      <c r="I27" s="67">
        <v>2.3109999999999999</v>
      </c>
      <c r="J27" s="67">
        <v>0.71020000000000005</v>
      </c>
      <c r="K27" s="67">
        <v>14.55</v>
      </c>
    </row>
    <row r="28" spans="1:11" x14ac:dyDescent="0.2">
      <c r="A28" s="68" t="s">
        <v>1284</v>
      </c>
      <c r="B28" s="69">
        <v>1.55</v>
      </c>
      <c r="C28" s="69">
        <v>36.06</v>
      </c>
      <c r="D28" s="69">
        <v>8.2530000000000001</v>
      </c>
      <c r="E28" s="69">
        <v>19.087</v>
      </c>
      <c r="F28" s="69">
        <v>1.5660000000000001</v>
      </c>
      <c r="G28" s="69">
        <v>13.39</v>
      </c>
      <c r="H28" s="69">
        <v>17.920000000000002</v>
      </c>
      <c r="I28" s="69">
        <v>2.4300000000000002</v>
      </c>
      <c r="J28" s="69">
        <v>0.69820000000000004</v>
      </c>
      <c r="K28" s="69">
        <v>14.73</v>
      </c>
    </row>
    <row r="29" spans="1:11" x14ac:dyDescent="0.2">
      <c r="A29" s="66" t="s">
        <v>1285</v>
      </c>
      <c r="B29" s="67">
        <v>1.569</v>
      </c>
      <c r="C29" s="67">
        <v>37.159999999999997</v>
      </c>
      <c r="D29" s="67">
        <v>8.2270000000000003</v>
      </c>
      <c r="E29" s="67">
        <v>18.742999999999999</v>
      </c>
      <c r="F29" s="67">
        <v>1.5980000000000001</v>
      </c>
      <c r="G29" s="67">
        <v>13.53</v>
      </c>
      <c r="H29" s="67">
        <v>17.579999999999998</v>
      </c>
      <c r="I29" s="67">
        <v>2.4060000000000001</v>
      </c>
      <c r="J29" s="67">
        <v>0.69679999999999997</v>
      </c>
      <c r="K29" s="67">
        <v>14.77</v>
      </c>
    </row>
    <row r="30" spans="1:11" x14ac:dyDescent="0.2">
      <c r="A30" s="68" t="s">
        <v>1286</v>
      </c>
      <c r="B30" s="69">
        <v>1.573</v>
      </c>
      <c r="C30" s="69">
        <v>34.229999999999997</v>
      </c>
      <c r="D30" s="69">
        <v>8.1280000000000001</v>
      </c>
      <c r="E30" s="69">
        <v>18.381</v>
      </c>
      <c r="F30" s="69">
        <v>1.615</v>
      </c>
      <c r="G30" s="69">
        <v>13.03</v>
      </c>
      <c r="H30" s="69">
        <v>17.100000000000001</v>
      </c>
      <c r="I30" s="69">
        <v>2.2429999999999999</v>
      </c>
      <c r="J30" s="69">
        <v>0.65200000000000002</v>
      </c>
      <c r="K30" s="69">
        <v>14.68</v>
      </c>
    </row>
    <row r="31" spans="1:11" x14ac:dyDescent="0.2">
      <c r="A31" s="66" t="s">
        <v>1287</v>
      </c>
      <c r="B31" s="67">
        <v>1.5620000000000001</v>
      </c>
      <c r="C31" s="67">
        <v>33.200000000000003</v>
      </c>
      <c r="D31" s="67">
        <v>8.1969999999999992</v>
      </c>
      <c r="E31" s="67">
        <v>19.03</v>
      </c>
      <c r="F31" s="67">
        <v>1.7150000000000001</v>
      </c>
      <c r="G31" s="67">
        <v>13.93</v>
      </c>
      <c r="H31" s="67">
        <v>18.14</v>
      </c>
      <c r="I31" s="67">
        <v>2.2799999999999998</v>
      </c>
      <c r="J31" s="67">
        <v>0.64939999999999998</v>
      </c>
      <c r="K31" s="67">
        <v>14.85</v>
      </c>
    </row>
    <row r="32" spans="1:11" x14ac:dyDescent="0.2">
      <c r="A32" s="68" t="s">
        <v>1288</v>
      </c>
      <c r="B32" s="69">
        <v>1.5580000000000001</v>
      </c>
      <c r="C32" s="69">
        <v>34.85</v>
      </c>
      <c r="D32" s="69">
        <v>8.07</v>
      </c>
      <c r="E32" s="69">
        <v>20.004999999999999</v>
      </c>
      <c r="F32" s="69">
        <v>1.722</v>
      </c>
      <c r="G32" s="69">
        <v>14.76</v>
      </c>
      <c r="H32" s="69">
        <v>18.850000000000001</v>
      </c>
      <c r="I32" s="69">
        <v>2.4969999999999999</v>
      </c>
      <c r="J32" s="69">
        <v>0.66949999999999998</v>
      </c>
      <c r="K32" s="69">
        <v>15</v>
      </c>
    </row>
    <row r="33" spans="1:11" x14ac:dyDescent="0.2">
      <c r="A33" s="66" t="s">
        <v>1289</v>
      </c>
      <c r="B33" s="67">
        <v>1.5289999999999999</v>
      </c>
      <c r="C33" s="67">
        <v>33.14</v>
      </c>
      <c r="D33" s="67">
        <v>7.9370000000000003</v>
      </c>
      <c r="E33" s="67">
        <v>18.577999999999999</v>
      </c>
      <c r="F33" s="67">
        <v>1.698</v>
      </c>
      <c r="G33" s="67">
        <v>14.31</v>
      </c>
      <c r="H33" s="67">
        <v>17.899999999999999</v>
      </c>
      <c r="I33" s="67">
        <v>2.3199999999999998</v>
      </c>
      <c r="J33" s="67">
        <v>0.63019999999999998</v>
      </c>
      <c r="K33" s="67">
        <v>14.96</v>
      </c>
    </row>
    <row r="34" spans="1:11" x14ac:dyDescent="0.2">
      <c r="A34" s="68" t="s">
        <v>1290</v>
      </c>
      <c r="B34" s="69">
        <v>1.5149999999999999</v>
      </c>
      <c r="C34" s="69">
        <v>30.39</v>
      </c>
      <c r="D34" s="69">
        <v>7.8650000000000002</v>
      </c>
      <c r="E34" s="69">
        <v>18.254999999999999</v>
      </c>
      <c r="F34" s="69">
        <v>1.6439999999999999</v>
      </c>
      <c r="G34" s="69">
        <v>14.07</v>
      </c>
      <c r="H34" s="69">
        <v>17.260000000000002</v>
      </c>
      <c r="I34" s="69">
        <v>2.3050000000000002</v>
      </c>
      <c r="J34" s="69">
        <v>0.60089999999999999</v>
      </c>
      <c r="K34" s="69">
        <v>14.73</v>
      </c>
    </row>
    <row r="35" spans="1:11" x14ac:dyDescent="0.2">
      <c r="A35" s="66" t="s">
        <v>1291</v>
      </c>
      <c r="B35" s="67">
        <v>1.518</v>
      </c>
      <c r="C35" s="67">
        <v>31.62</v>
      </c>
      <c r="D35" s="67">
        <v>7.673</v>
      </c>
      <c r="E35" s="67">
        <v>17.382000000000001</v>
      </c>
      <c r="F35" s="67">
        <v>1.587</v>
      </c>
      <c r="G35" s="67">
        <v>13.7</v>
      </c>
      <c r="H35" s="67">
        <v>16.38</v>
      </c>
      <c r="I35" s="67">
        <v>2.1850000000000001</v>
      </c>
      <c r="J35" s="67">
        <v>0.55420000000000003</v>
      </c>
      <c r="K35" s="67">
        <v>14.55</v>
      </c>
    </row>
    <row r="36" spans="1:11" x14ac:dyDescent="0.2">
      <c r="A36" s="68" t="s">
        <v>1292</v>
      </c>
      <c r="B36" s="69">
        <v>1.5549999999999999</v>
      </c>
      <c r="C36" s="69">
        <v>34.07</v>
      </c>
      <c r="D36" s="69">
        <v>8.02</v>
      </c>
      <c r="E36" s="69">
        <v>18.292999999999999</v>
      </c>
      <c r="F36" s="69">
        <v>1.6950000000000001</v>
      </c>
      <c r="G36" s="69">
        <v>14.54</v>
      </c>
      <c r="H36" s="69">
        <v>17.59</v>
      </c>
      <c r="I36" s="69">
        <v>2.2189999999999999</v>
      </c>
      <c r="J36" s="69">
        <v>0.60499999999999998</v>
      </c>
      <c r="K36" s="69">
        <v>15.12</v>
      </c>
    </row>
    <row r="37" spans="1:11" x14ac:dyDescent="0.2">
      <c r="A37" s="66" t="s">
        <v>1293</v>
      </c>
      <c r="B37" s="67">
        <v>1.5940000000000001</v>
      </c>
      <c r="C37" s="67">
        <v>34.090000000000003</v>
      </c>
      <c r="D37" s="67">
        <v>8.2579999999999991</v>
      </c>
      <c r="E37" s="67">
        <v>18.968</v>
      </c>
      <c r="F37" s="67">
        <v>1.764</v>
      </c>
      <c r="G37" s="67">
        <v>15.13</v>
      </c>
      <c r="H37" s="67">
        <v>18.32</v>
      </c>
      <c r="I37" s="67">
        <v>2.3809999999999998</v>
      </c>
      <c r="J37" s="67">
        <v>0.6613</v>
      </c>
      <c r="K37" s="67">
        <v>15.54</v>
      </c>
    </row>
    <row r="38" spans="1:11" x14ac:dyDescent="0.2">
      <c r="A38" s="68" t="s">
        <v>1294</v>
      </c>
      <c r="B38" s="69">
        <v>1.583</v>
      </c>
      <c r="C38" s="69">
        <v>31.29</v>
      </c>
      <c r="D38" s="69">
        <v>8.2210000000000001</v>
      </c>
      <c r="E38" s="69">
        <v>18.129000000000001</v>
      </c>
      <c r="F38" s="69">
        <v>1.7989999999999999</v>
      </c>
      <c r="G38" s="69">
        <v>15.06</v>
      </c>
      <c r="H38" s="69">
        <v>17.89</v>
      </c>
      <c r="I38" s="69">
        <v>2.254</v>
      </c>
      <c r="J38" s="69">
        <v>0.61809999999999998</v>
      </c>
      <c r="K38" s="69">
        <v>15.62</v>
      </c>
    </row>
    <row r="39" spans="1:11" x14ac:dyDescent="0.2">
      <c r="A39" s="66" t="s">
        <v>1295</v>
      </c>
      <c r="B39" s="67">
        <v>1.5649999999999999</v>
      </c>
      <c r="C39" s="67">
        <v>29.09</v>
      </c>
      <c r="D39" s="67">
        <v>8.2430000000000003</v>
      </c>
      <c r="E39" s="67">
        <v>18.946000000000002</v>
      </c>
      <c r="F39" s="67">
        <v>1.8640000000000001</v>
      </c>
      <c r="G39" s="67">
        <v>15.51</v>
      </c>
      <c r="H39" s="67">
        <v>18.62</v>
      </c>
      <c r="I39" s="67">
        <v>2.2599999999999998</v>
      </c>
      <c r="J39" s="67">
        <v>0.59740000000000004</v>
      </c>
      <c r="K39" s="67">
        <v>15.55</v>
      </c>
    </row>
    <row r="40" spans="1:11" x14ac:dyDescent="0.2">
      <c r="A40" s="68" t="s">
        <v>1296</v>
      </c>
      <c r="B40" s="69">
        <v>1.569</v>
      </c>
      <c r="C40" s="69">
        <v>34.53</v>
      </c>
      <c r="D40" s="69">
        <v>8.3219999999999992</v>
      </c>
      <c r="E40" s="69">
        <v>19.808</v>
      </c>
      <c r="F40" s="69">
        <v>1.9470000000000001</v>
      </c>
      <c r="G40" s="69">
        <v>16.350000000000001</v>
      </c>
      <c r="H40" s="69">
        <v>19.46</v>
      </c>
      <c r="I40" s="69">
        <v>2.3650000000000002</v>
      </c>
      <c r="J40" s="69">
        <v>0.58799999999999997</v>
      </c>
      <c r="K40" s="69">
        <v>15.74</v>
      </c>
    </row>
    <row r="41" spans="1:11" x14ac:dyDescent="0.2">
      <c r="A41" s="66" t="s">
        <v>1297</v>
      </c>
      <c r="B41" s="67">
        <v>1.5329999999999999</v>
      </c>
      <c r="C41" s="67">
        <v>36.67</v>
      </c>
      <c r="D41" s="67">
        <v>8.0969999999999995</v>
      </c>
      <c r="E41" s="67">
        <v>19.882999999999999</v>
      </c>
      <c r="F41" s="67">
        <v>1.901</v>
      </c>
      <c r="G41" s="67">
        <v>15.75</v>
      </c>
      <c r="H41" s="67">
        <v>19.28</v>
      </c>
      <c r="I41" s="67">
        <v>2.4980000000000002</v>
      </c>
      <c r="J41" s="67">
        <v>0.55910000000000004</v>
      </c>
      <c r="K41" s="67">
        <v>15.48</v>
      </c>
    </row>
    <row r="42" spans="1:11" x14ac:dyDescent="0.2">
      <c r="A42" s="68" t="s">
        <v>1298</v>
      </c>
      <c r="B42" s="69">
        <v>1.5549999999999999</v>
      </c>
      <c r="C42" s="69">
        <v>38.97</v>
      </c>
      <c r="D42" s="69">
        <v>8.2279999999999998</v>
      </c>
      <c r="E42" s="69">
        <v>19.954999999999998</v>
      </c>
      <c r="F42" s="69">
        <v>1.9390000000000001</v>
      </c>
      <c r="G42" s="69">
        <v>15.66</v>
      </c>
      <c r="H42" s="69">
        <v>19.43</v>
      </c>
      <c r="I42" s="69">
        <v>2.5819999999999999</v>
      </c>
      <c r="J42" s="69">
        <v>0.55969999999999998</v>
      </c>
      <c r="K42" s="69">
        <v>15.73</v>
      </c>
    </row>
    <row r="43" spans="1:11" x14ac:dyDescent="0.2">
      <c r="A43" s="66" t="s">
        <v>1299</v>
      </c>
      <c r="B43" s="67">
        <v>1.577</v>
      </c>
      <c r="C43" s="67">
        <v>37.47</v>
      </c>
      <c r="D43" s="67">
        <v>8.3249999999999993</v>
      </c>
      <c r="E43" s="67">
        <v>20.724</v>
      </c>
      <c r="F43" s="67">
        <v>1.9850000000000001</v>
      </c>
      <c r="G43" s="67">
        <v>16.04</v>
      </c>
      <c r="H43" s="67">
        <v>20.059999999999999</v>
      </c>
      <c r="I43" s="67">
        <v>2.61</v>
      </c>
      <c r="J43" s="67">
        <v>0.54139999999999999</v>
      </c>
      <c r="K43" s="67">
        <v>15.77</v>
      </c>
    </row>
    <row r="44" spans="1:11" x14ac:dyDescent="0.2">
      <c r="A44" s="68" t="s">
        <v>1300</v>
      </c>
      <c r="B44" s="69">
        <v>1.609</v>
      </c>
      <c r="C44" s="69">
        <v>40.590000000000003</v>
      </c>
      <c r="D44" s="69">
        <v>8.3190000000000008</v>
      </c>
      <c r="E44" s="69">
        <v>20.597000000000001</v>
      </c>
      <c r="F44" s="69">
        <v>1.9850000000000001</v>
      </c>
      <c r="G44" s="69">
        <v>16.760000000000002</v>
      </c>
      <c r="H44" s="69">
        <v>19.86</v>
      </c>
      <c r="I44" s="69">
        <v>2.754</v>
      </c>
      <c r="J44" s="69">
        <v>0.56979999999999997</v>
      </c>
      <c r="K44" s="69">
        <v>16.100000000000001</v>
      </c>
    </row>
    <row r="45" spans="1:11" x14ac:dyDescent="0.2">
      <c r="A45" s="66" t="s">
        <v>1301</v>
      </c>
      <c r="B45" s="67">
        <v>1.6279999999999999</v>
      </c>
      <c r="C45" s="67">
        <v>42.85</v>
      </c>
      <c r="D45" s="67">
        <v>8.4440000000000008</v>
      </c>
      <c r="E45" s="67">
        <v>20.966999999999999</v>
      </c>
      <c r="F45" s="67">
        <v>1.964</v>
      </c>
      <c r="G45" s="67">
        <v>16.55</v>
      </c>
      <c r="H45" s="67">
        <v>20.02</v>
      </c>
      <c r="I45" s="67">
        <v>2.8839999999999999</v>
      </c>
      <c r="J45" s="67">
        <v>0.61709999999999998</v>
      </c>
      <c r="K45" s="67">
        <v>16.21</v>
      </c>
    </row>
    <row r="46" spans="1:11" x14ac:dyDescent="0.2">
      <c r="A46" s="68" t="s">
        <v>1302</v>
      </c>
      <c r="B46" s="69">
        <v>1.6559999999999999</v>
      </c>
      <c r="C46" s="69">
        <v>44.28</v>
      </c>
      <c r="D46" s="69">
        <v>8.5530000000000008</v>
      </c>
      <c r="E46" s="69">
        <v>22.776</v>
      </c>
      <c r="F46" s="69">
        <v>1.9610000000000001</v>
      </c>
      <c r="G46" s="69">
        <v>16.399999999999999</v>
      </c>
      <c r="H46" s="69">
        <v>20.64</v>
      </c>
      <c r="I46" s="69">
        <v>3.1469999999999998</v>
      </c>
      <c r="J46" s="69">
        <v>0.64710000000000001</v>
      </c>
      <c r="K46" s="69">
        <v>16.420000000000002</v>
      </c>
    </row>
    <row r="47" spans="1:11" x14ac:dyDescent="0.2">
      <c r="A47" s="66" t="s">
        <v>1303</v>
      </c>
      <c r="B47" s="67">
        <v>1.643</v>
      </c>
      <c r="C47" s="67">
        <v>45.06</v>
      </c>
      <c r="D47" s="67">
        <v>8.3559999999999999</v>
      </c>
      <c r="E47" s="67">
        <v>21.45</v>
      </c>
      <c r="F47" s="67">
        <v>1.9690000000000001</v>
      </c>
      <c r="G47" s="67">
        <v>16.37</v>
      </c>
      <c r="H47" s="67">
        <v>19.989999999999998</v>
      </c>
      <c r="I47" s="67">
        <v>3.056</v>
      </c>
      <c r="J47" s="67">
        <v>0.59199999999999997</v>
      </c>
      <c r="K47" s="67">
        <v>16.13</v>
      </c>
    </row>
    <row r="48" spans="1:11" x14ac:dyDescent="0.2">
      <c r="A48" s="68" t="s">
        <v>1304</v>
      </c>
      <c r="B48" s="69">
        <v>1.6489</v>
      </c>
      <c r="C48" s="69">
        <v>42.53</v>
      </c>
      <c r="D48" s="69">
        <v>8.3569999999999993</v>
      </c>
      <c r="E48" s="69">
        <v>20.844000000000001</v>
      </c>
      <c r="F48" s="69">
        <v>2.0960000000000001</v>
      </c>
      <c r="G48" s="69">
        <v>17.53</v>
      </c>
      <c r="H48" s="69">
        <v>19.46</v>
      </c>
      <c r="I48" s="69">
        <v>3.2970000000000002</v>
      </c>
      <c r="J48" s="69">
        <v>0.56340000000000001</v>
      </c>
      <c r="K48" s="69">
        <v>16.37</v>
      </c>
    </row>
    <row r="49" spans="1:11" x14ac:dyDescent="0.2">
      <c r="A49" s="66" t="s">
        <v>1305</v>
      </c>
      <c r="B49" s="67">
        <v>1.6376999999999999</v>
      </c>
      <c r="C49" s="67">
        <v>38.72</v>
      </c>
      <c r="D49" s="67">
        <v>8.27</v>
      </c>
      <c r="E49" s="67">
        <v>20.68</v>
      </c>
      <c r="F49" s="67">
        <v>2.0569999999999999</v>
      </c>
      <c r="G49" s="67">
        <v>16.36</v>
      </c>
      <c r="H49" s="67">
        <v>19.13</v>
      </c>
      <c r="I49" s="67">
        <v>3.2509999999999999</v>
      </c>
      <c r="J49" s="67">
        <v>0.53749999999999998</v>
      </c>
      <c r="K49" s="67">
        <v>16.25</v>
      </c>
    </row>
    <row r="50" spans="1:11" x14ac:dyDescent="0.2">
      <c r="A50" s="68" t="s">
        <v>1306</v>
      </c>
      <c r="B50" s="69">
        <v>1.6334</v>
      </c>
      <c r="C50" s="69">
        <v>44.64</v>
      </c>
      <c r="D50" s="69">
        <v>8.1720000000000006</v>
      </c>
      <c r="E50" s="69">
        <v>20.850999999999999</v>
      </c>
      <c r="F50" s="69">
        <v>2.153</v>
      </c>
      <c r="G50" s="69">
        <v>17.170000000000002</v>
      </c>
      <c r="H50" s="69">
        <v>19.41</v>
      </c>
      <c r="I50" s="69">
        <v>3.3820000000000001</v>
      </c>
      <c r="J50" s="69">
        <v>0.53359999999999996</v>
      </c>
      <c r="K50" s="69">
        <v>16.420000000000002</v>
      </c>
    </row>
    <row r="51" spans="1:11" x14ac:dyDescent="0.2">
      <c r="A51" s="66" t="s">
        <v>1307</v>
      </c>
      <c r="B51" s="67">
        <v>1.6523000000000001</v>
      </c>
      <c r="C51" s="67">
        <v>44.08</v>
      </c>
      <c r="D51" s="67">
        <v>8.3320000000000007</v>
      </c>
      <c r="E51" s="67">
        <v>20.859000000000002</v>
      </c>
      <c r="F51" s="67">
        <v>2.0680000000000001</v>
      </c>
      <c r="G51" s="67">
        <v>16.649999999999999</v>
      </c>
      <c r="H51" s="67">
        <v>19.03</v>
      </c>
      <c r="I51" s="67">
        <v>3.4350000000000001</v>
      </c>
      <c r="J51" s="67">
        <v>0.53059999999999996</v>
      </c>
      <c r="K51" s="67">
        <v>16.71</v>
      </c>
    </row>
    <row r="52" spans="1:11" x14ac:dyDescent="0.2">
      <c r="A52" s="68" t="s">
        <v>1308</v>
      </c>
      <c r="B52" s="69">
        <v>1.663</v>
      </c>
      <c r="C52" s="69">
        <v>50.63</v>
      </c>
      <c r="D52" s="69">
        <v>8.3369999999999997</v>
      </c>
      <c r="E52" s="69">
        <v>20.991</v>
      </c>
      <c r="F52" s="69">
        <v>1.974</v>
      </c>
      <c r="G52" s="69">
        <v>16.12</v>
      </c>
      <c r="H52" s="69">
        <v>19.23</v>
      </c>
      <c r="I52" s="69">
        <v>3.51</v>
      </c>
      <c r="J52" s="69">
        <v>0.55000000000000004</v>
      </c>
      <c r="K52" s="69">
        <v>16.739999999999998</v>
      </c>
    </row>
    <row r="53" spans="1:11" x14ac:dyDescent="0.2">
      <c r="A53" s="66" t="s">
        <v>1309</v>
      </c>
      <c r="B53" s="67">
        <v>1.6880999999999999</v>
      </c>
      <c r="C53" s="67">
        <v>54.59</v>
      </c>
      <c r="D53" s="67">
        <v>8.1620000000000008</v>
      </c>
      <c r="E53" s="67">
        <v>20.984999999999999</v>
      </c>
      <c r="F53" s="67">
        <v>1.9370000000000001</v>
      </c>
      <c r="G53" s="67">
        <v>15.57</v>
      </c>
      <c r="H53" s="67">
        <v>19.52</v>
      </c>
      <c r="I53" s="67">
        <v>3.528</v>
      </c>
      <c r="J53" s="67">
        <v>0.5554</v>
      </c>
      <c r="K53" s="67">
        <v>16.73</v>
      </c>
    </row>
    <row r="54" spans="1:11" x14ac:dyDescent="0.2">
      <c r="A54" s="68" t="s">
        <v>1310</v>
      </c>
      <c r="B54" s="69">
        <v>1.6989000000000001</v>
      </c>
      <c r="C54" s="69">
        <v>57.11</v>
      </c>
      <c r="D54" s="69">
        <v>8.1869999999999994</v>
      </c>
      <c r="E54" s="69">
        <v>22.030999999999999</v>
      </c>
      <c r="F54" s="69">
        <v>2.0739999999999998</v>
      </c>
      <c r="G54" s="69">
        <v>16.07</v>
      </c>
      <c r="H54" s="69">
        <v>20.76</v>
      </c>
      <c r="I54" s="69">
        <v>3.7320000000000002</v>
      </c>
      <c r="J54" s="69">
        <v>0.5595</v>
      </c>
      <c r="K54" s="69">
        <v>16.71</v>
      </c>
    </row>
    <row r="55" spans="1:11" x14ac:dyDescent="0.2">
      <c r="A55" s="66" t="s">
        <v>1311</v>
      </c>
      <c r="B55" s="67">
        <v>1.7375</v>
      </c>
      <c r="C55" s="67">
        <v>58.07</v>
      </c>
      <c r="D55" s="67">
        <v>8.2899999999999991</v>
      </c>
      <c r="E55" s="67">
        <v>23.158000000000001</v>
      </c>
      <c r="F55" s="67">
        <v>2.1349999999999998</v>
      </c>
      <c r="G55" s="67">
        <v>16.48</v>
      </c>
      <c r="H55" s="67">
        <v>21.93</v>
      </c>
      <c r="I55" s="67">
        <v>3.8519999999999999</v>
      </c>
      <c r="J55" s="67">
        <v>0.58860000000000001</v>
      </c>
      <c r="K55" s="67">
        <v>17.04</v>
      </c>
    </row>
    <row r="56" spans="1:11" x14ac:dyDescent="0.2">
      <c r="A56" s="68" t="s">
        <v>1312</v>
      </c>
      <c r="B56" s="69">
        <v>1.7598</v>
      </c>
      <c r="C56" s="69">
        <v>58.27</v>
      </c>
      <c r="D56" s="69">
        <v>8.2479999999999993</v>
      </c>
      <c r="E56" s="69">
        <v>23.731000000000002</v>
      </c>
      <c r="F56" s="69">
        <v>2.2320000000000002</v>
      </c>
      <c r="G56" s="69">
        <v>16.66</v>
      </c>
      <c r="H56" s="69">
        <v>22.2</v>
      </c>
      <c r="I56" s="69">
        <v>4.0419999999999998</v>
      </c>
      <c r="J56" s="69">
        <v>0.59399999999999997</v>
      </c>
      <c r="K56" s="69">
        <v>17.04</v>
      </c>
    </row>
    <row r="57" spans="1:11" x14ac:dyDescent="0.2">
      <c r="A57" s="66" t="s">
        <v>1313</v>
      </c>
      <c r="B57" s="67">
        <v>1.8070999999999999</v>
      </c>
      <c r="C57" s="67">
        <v>68.47</v>
      </c>
      <c r="D57" s="67">
        <v>8.3460000000000001</v>
      </c>
      <c r="E57" s="67">
        <v>23.952000000000002</v>
      </c>
      <c r="F57" s="67">
        <v>2.2490000000000001</v>
      </c>
      <c r="G57" s="67">
        <v>17.02</v>
      </c>
      <c r="H57" s="67">
        <v>23.26</v>
      </c>
      <c r="I57" s="67">
        <v>4.4720000000000004</v>
      </c>
      <c r="J57" s="67">
        <v>0.61260000000000003</v>
      </c>
      <c r="K57" s="67">
        <v>17.3</v>
      </c>
    </row>
    <row r="58" spans="1:11" x14ac:dyDescent="0.2">
      <c r="A58" s="68" t="s">
        <v>1314</v>
      </c>
      <c r="B58" s="69">
        <v>1.8110999999999999</v>
      </c>
      <c r="C58" s="69">
        <v>83.73</v>
      </c>
      <c r="D58" s="69">
        <v>8.4550000000000001</v>
      </c>
      <c r="E58" s="69">
        <v>25.663</v>
      </c>
      <c r="F58" s="69">
        <v>2.3170000000000002</v>
      </c>
      <c r="G58" s="69">
        <v>17.18</v>
      </c>
      <c r="H58" s="69">
        <v>24.79</v>
      </c>
      <c r="I58" s="69">
        <v>4.5140000000000002</v>
      </c>
      <c r="J58" s="69">
        <v>0.61619999999999997</v>
      </c>
      <c r="K58" s="69">
        <v>17.43</v>
      </c>
    </row>
    <row r="59" spans="1:11" x14ac:dyDescent="0.2">
      <c r="A59" s="66" t="s">
        <v>1315</v>
      </c>
      <c r="B59" s="67">
        <v>1.8119000000000001</v>
      </c>
      <c r="C59" s="67">
        <v>80.39</v>
      </c>
      <c r="D59" s="67">
        <v>8.4039999999999999</v>
      </c>
      <c r="E59" s="67">
        <v>26.984000000000002</v>
      </c>
      <c r="F59" s="67">
        <v>2.395</v>
      </c>
      <c r="G59" s="67">
        <v>17.25</v>
      </c>
      <c r="H59" s="67">
        <v>25.44</v>
      </c>
      <c r="I59" s="67">
        <v>4.633</v>
      </c>
      <c r="J59" s="67">
        <v>0.61850000000000005</v>
      </c>
      <c r="K59" s="67">
        <v>17.63</v>
      </c>
    </row>
    <row r="60" spans="1:11" x14ac:dyDescent="0.2">
      <c r="A60" s="68" t="s">
        <v>1316</v>
      </c>
      <c r="B60" s="69">
        <v>1.7964</v>
      </c>
      <c r="C60" s="69">
        <v>92.79</v>
      </c>
      <c r="D60" s="69">
        <v>8.4130000000000003</v>
      </c>
      <c r="E60" s="69">
        <v>26.664999999999999</v>
      </c>
      <c r="F60" s="69">
        <v>2.4129999999999998</v>
      </c>
      <c r="G60" s="69">
        <v>17.82</v>
      </c>
      <c r="H60" s="69">
        <v>25.11</v>
      </c>
      <c r="I60" s="69">
        <v>4.5940000000000003</v>
      </c>
      <c r="J60" s="69">
        <v>0.60940000000000005</v>
      </c>
      <c r="K60" s="69">
        <v>17.75</v>
      </c>
    </row>
    <row r="61" spans="1:11" x14ac:dyDescent="0.2">
      <c r="A61" s="66" t="s">
        <v>1317</v>
      </c>
      <c r="B61" s="67">
        <v>1.7855000000000001</v>
      </c>
      <c r="C61" s="67">
        <v>100.47</v>
      </c>
      <c r="D61" s="67">
        <v>8.42</v>
      </c>
      <c r="E61" s="67">
        <v>27.471</v>
      </c>
      <c r="F61" s="67">
        <v>2.399</v>
      </c>
      <c r="G61" s="67">
        <v>17.899999999999999</v>
      </c>
      <c r="H61" s="67">
        <v>26.27</v>
      </c>
      <c r="I61" s="67">
        <v>4.782</v>
      </c>
      <c r="J61" s="67">
        <v>0.61299999999999999</v>
      </c>
      <c r="K61" s="67">
        <v>17.8</v>
      </c>
    </row>
    <row r="62" spans="1:11" x14ac:dyDescent="0.2">
      <c r="A62" s="68" t="s">
        <v>1318</v>
      </c>
      <c r="B62" s="69">
        <v>1.7975000000000001</v>
      </c>
      <c r="C62" s="69">
        <v>114.62</v>
      </c>
      <c r="D62" s="69">
        <v>8.34</v>
      </c>
      <c r="E62" s="69">
        <v>29.951000000000001</v>
      </c>
      <c r="F62" s="69">
        <v>2.4039999999999999</v>
      </c>
      <c r="G62" s="69">
        <v>18.34</v>
      </c>
      <c r="H62" s="69">
        <v>28.65</v>
      </c>
      <c r="I62" s="69">
        <v>4.9720000000000004</v>
      </c>
      <c r="J62" s="69">
        <v>0.62970000000000004</v>
      </c>
      <c r="K62" s="69">
        <v>17.89</v>
      </c>
    </row>
    <row r="63" spans="1:11" x14ac:dyDescent="0.2">
      <c r="A63" s="66" t="s">
        <v>1319</v>
      </c>
      <c r="B63" s="67">
        <v>1.8141</v>
      </c>
      <c r="C63" s="67">
        <v>129.66999999999999</v>
      </c>
      <c r="D63" s="67">
        <v>8.43</v>
      </c>
      <c r="E63" s="67">
        <v>31.472999999999999</v>
      </c>
      <c r="F63" s="67">
        <v>2.3820000000000001</v>
      </c>
      <c r="G63" s="67">
        <v>19.04</v>
      </c>
      <c r="H63" s="67">
        <v>30.7</v>
      </c>
      <c r="I63" s="67">
        <v>5.1559999999999997</v>
      </c>
      <c r="J63" s="67">
        <v>0.63170000000000004</v>
      </c>
      <c r="K63" s="67">
        <v>18.079999999999998</v>
      </c>
    </row>
    <row r="64" spans="1:11" x14ac:dyDescent="0.2">
      <c r="A64" s="68" t="s">
        <v>1320</v>
      </c>
      <c r="B64" s="69">
        <v>1.7692000000000001</v>
      </c>
      <c r="C64" s="69">
        <v>102.54</v>
      </c>
      <c r="D64" s="69">
        <v>8.2240000000000002</v>
      </c>
      <c r="E64" s="69">
        <v>27.631</v>
      </c>
      <c r="F64" s="69">
        <v>2.2629999999999999</v>
      </c>
      <c r="G64" s="69">
        <v>17.649999999999999</v>
      </c>
      <c r="H64" s="69">
        <v>26.81</v>
      </c>
      <c r="I64" s="69">
        <v>4.9029999999999996</v>
      </c>
      <c r="J64" s="69">
        <v>0.57189999999999996</v>
      </c>
      <c r="K64" s="69">
        <v>17.63</v>
      </c>
    </row>
    <row r="65" spans="1:11" x14ac:dyDescent="0.2">
      <c r="A65" s="66" t="s">
        <v>1321</v>
      </c>
      <c r="B65" s="67">
        <v>1.81</v>
      </c>
      <c r="C65" s="67">
        <v>116.93</v>
      </c>
      <c r="D65" s="67">
        <v>8.2270000000000003</v>
      </c>
      <c r="E65" s="67">
        <v>30.949000000000002</v>
      </c>
      <c r="F65" s="67">
        <v>2.484</v>
      </c>
      <c r="G65" s="67">
        <v>18.760000000000002</v>
      </c>
      <c r="H65" s="67">
        <v>31.7</v>
      </c>
      <c r="I65" s="67">
        <v>5.2770000000000001</v>
      </c>
      <c r="J65" s="67">
        <v>0.60980000000000001</v>
      </c>
      <c r="K65" s="67">
        <v>17.97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E8657-12F7-4E5D-98C1-AAC0D7A5DE7E}">
  <sheetPr codeName="Sheet13"/>
  <dimension ref="A1:K62"/>
  <sheetViews>
    <sheetView workbookViewId="0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2" t="s">
        <v>1322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11" x14ac:dyDescent="0.2">
      <c r="A2" s="54" t="s">
        <v>1249</v>
      </c>
      <c r="B2" s="54" t="s">
        <v>1112</v>
      </c>
      <c r="C2" s="54" t="s">
        <v>1113</v>
      </c>
      <c r="D2" s="54" t="s">
        <v>1114</v>
      </c>
      <c r="E2" s="54" t="s">
        <v>1115</v>
      </c>
      <c r="F2" s="54" t="s">
        <v>1116</v>
      </c>
      <c r="G2" s="54" t="s">
        <v>1117</v>
      </c>
      <c r="H2" s="54" t="s">
        <v>1118</v>
      </c>
      <c r="I2" s="54" t="s">
        <v>1119</v>
      </c>
      <c r="J2" s="54" t="s">
        <v>1120</v>
      </c>
      <c r="K2" s="54" t="s">
        <v>1121</v>
      </c>
    </row>
    <row r="3" spans="1:11" x14ac:dyDescent="0.2">
      <c r="A3" s="66" t="s">
        <v>1262</v>
      </c>
      <c r="B3" s="70">
        <v>8.0249999999999991E-3</v>
      </c>
      <c r="C3" s="70">
        <v>0.116886</v>
      </c>
      <c r="D3" s="70">
        <v>6.0889999999999998E-3</v>
      </c>
      <c r="E3" s="70">
        <v>2.8900000000000002E-3</v>
      </c>
      <c r="F3" s="70">
        <v>0</v>
      </c>
      <c r="G3" s="70">
        <v>2.9061E-2</v>
      </c>
      <c r="H3" s="70">
        <v>3.3125000000000002E-2</v>
      </c>
      <c r="I3" s="70">
        <v>2.6540000000000001E-3</v>
      </c>
      <c r="J3" s="71">
        <v>-7.7999999999999996E-3</v>
      </c>
      <c r="K3" s="70">
        <v>4.4840000000000001E-3</v>
      </c>
    </row>
    <row r="4" spans="1:11" x14ac:dyDescent="0.2">
      <c r="A4" s="68" t="s">
        <v>1263</v>
      </c>
      <c r="B4" s="72">
        <v>6.1200000000000002E-4</v>
      </c>
      <c r="C4" s="73">
        <v>-0.14113999999999999</v>
      </c>
      <c r="D4" s="72">
        <v>2.248E-3</v>
      </c>
      <c r="E4" s="73">
        <v>-2.6856999999999999E-2</v>
      </c>
      <c r="F4" s="72">
        <v>1.1223E-2</v>
      </c>
      <c r="G4" s="73">
        <v>-2.8240000000000001E-2</v>
      </c>
      <c r="H4" s="73">
        <v>-8.5500000000000003E-3</v>
      </c>
      <c r="I4" s="73">
        <v>-2.7220999999999999E-2</v>
      </c>
      <c r="J4" s="72">
        <v>4.9799999999999996E-4</v>
      </c>
      <c r="K4" s="72">
        <v>3.189E-3</v>
      </c>
    </row>
    <row r="5" spans="1:11" x14ac:dyDescent="0.2">
      <c r="A5" s="66" t="s">
        <v>1264</v>
      </c>
      <c r="B5" s="70">
        <v>1.0404E-2</v>
      </c>
      <c r="C5" s="70">
        <v>4.2992000000000002E-2</v>
      </c>
      <c r="D5" s="71">
        <v>-2.3376000000000001E-2</v>
      </c>
      <c r="E5" s="71">
        <v>-6.6484000000000001E-2</v>
      </c>
      <c r="F5" s="70">
        <v>1.7203E-2</v>
      </c>
      <c r="G5" s="70">
        <v>4.4710000000000001E-3</v>
      </c>
      <c r="H5" s="71">
        <v>-4.9586999999999999E-2</v>
      </c>
      <c r="I5" s="70">
        <v>5.0520000000000001E-3</v>
      </c>
      <c r="J5" s="71">
        <v>-2.5661E-2</v>
      </c>
      <c r="K5" s="70">
        <v>2.5430000000000001E-3</v>
      </c>
    </row>
    <row r="6" spans="1:11" x14ac:dyDescent="0.2">
      <c r="A6" s="68" t="s">
        <v>1265</v>
      </c>
      <c r="B6" s="73">
        <v>-4.2399999999999998E-3</v>
      </c>
      <c r="C6" s="73">
        <v>-6.4145999999999995E-2</v>
      </c>
      <c r="D6" s="72">
        <v>1.5368E-2</v>
      </c>
      <c r="E6" s="72">
        <v>4.0460000000000001E-3</v>
      </c>
      <c r="F6" s="72">
        <v>2.0185000000000002E-2</v>
      </c>
      <c r="G6" s="72">
        <v>1.1868999999999999E-2</v>
      </c>
      <c r="H6" s="72">
        <v>1.3989E-2</v>
      </c>
      <c r="I6" s="73">
        <v>-2.2814999999999998E-2</v>
      </c>
      <c r="J6" s="73">
        <v>-1.5108E-2</v>
      </c>
      <c r="K6" s="72">
        <v>2.5360000000000001E-3</v>
      </c>
    </row>
    <row r="7" spans="1:11" x14ac:dyDescent="0.2">
      <c r="A7" s="66" t="s">
        <v>1266</v>
      </c>
      <c r="B7" s="71">
        <v>-9.1240000000000002E-3</v>
      </c>
      <c r="C7" s="71">
        <v>-9.1738E-2</v>
      </c>
      <c r="D7" s="71">
        <v>-2.6705E-2</v>
      </c>
      <c r="E7" s="71">
        <v>-3.5443000000000002E-2</v>
      </c>
      <c r="F7" s="71">
        <v>-3.5829E-2</v>
      </c>
      <c r="G7" s="71">
        <v>-2.4927000000000001E-2</v>
      </c>
      <c r="H7" s="71">
        <v>-3.9523000000000003E-2</v>
      </c>
      <c r="I7" s="71">
        <v>-3.166E-3</v>
      </c>
      <c r="J7" s="71">
        <v>-4.2185E-2</v>
      </c>
      <c r="K7" s="71">
        <v>-1.8979999999999999E-3</v>
      </c>
    </row>
    <row r="8" spans="1:11" x14ac:dyDescent="0.2">
      <c r="A8" s="68" t="s">
        <v>1267</v>
      </c>
      <c r="B8" s="73">
        <v>-1.3505E-2</v>
      </c>
      <c r="C8" s="72">
        <v>0.10846500000000001</v>
      </c>
      <c r="D8" s="73">
        <v>-3.7447000000000001E-2</v>
      </c>
      <c r="E8" s="72">
        <v>1.3388000000000001E-2</v>
      </c>
      <c r="F8" s="72">
        <v>3.1059E-2</v>
      </c>
      <c r="G8" s="72">
        <v>3.9098000000000001E-2</v>
      </c>
      <c r="H8" s="72">
        <v>2.8339E-2</v>
      </c>
      <c r="I8" s="72">
        <v>3.6919E-2</v>
      </c>
      <c r="J8" s="72">
        <v>1.5365999999999999E-2</v>
      </c>
      <c r="K8" s="73">
        <v>-3.8019999999999998E-3</v>
      </c>
    </row>
    <row r="9" spans="1:11" x14ac:dyDescent="0.2">
      <c r="A9" s="66" t="s">
        <v>1268</v>
      </c>
      <c r="B9" s="70">
        <v>8.7119999999999993E-3</v>
      </c>
      <c r="C9" s="70">
        <v>9.8370000000000003E-3</v>
      </c>
      <c r="D9" s="71">
        <v>-3.3430000000000001E-3</v>
      </c>
      <c r="E9" s="71">
        <v>-5.6356999999999997E-2</v>
      </c>
      <c r="F9" s="71">
        <v>-1.6138E-2</v>
      </c>
      <c r="G9" s="71">
        <v>-2.3878E-2</v>
      </c>
      <c r="H9" s="71">
        <v>-5.0584999999999998E-2</v>
      </c>
      <c r="I9" s="71">
        <v>-5.8193000000000002E-2</v>
      </c>
      <c r="J9" s="71">
        <v>-4.8918000000000003E-2</v>
      </c>
      <c r="K9" s="71">
        <v>-8.9060000000000007E-3</v>
      </c>
    </row>
    <row r="10" spans="1:11" x14ac:dyDescent="0.2">
      <c r="A10" s="68" t="s">
        <v>1269</v>
      </c>
      <c r="B10" s="73">
        <v>-3.0850000000000001E-3</v>
      </c>
      <c r="C10" s="73">
        <v>-1.1023E-2</v>
      </c>
      <c r="D10" s="73">
        <v>-2.2360000000000001E-3</v>
      </c>
      <c r="E10" s="72">
        <v>2.1447000000000001E-2</v>
      </c>
      <c r="F10" s="72">
        <v>3.5539000000000001E-2</v>
      </c>
      <c r="G10" s="72">
        <v>6.4491999999999994E-2</v>
      </c>
      <c r="H10" s="72">
        <v>3.0616000000000001E-2</v>
      </c>
      <c r="I10" s="72">
        <v>4.4714999999999998E-2</v>
      </c>
      <c r="J10" s="72">
        <v>1.3450000000000001E-3</v>
      </c>
      <c r="K10" s="72">
        <v>1.1553000000000001E-2</v>
      </c>
    </row>
    <row r="11" spans="1:11" x14ac:dyDescent="0.2">
      <c r="A11" s="66" t="s">
        <v>1270</v>
      </c>
      <c r="B11" s="71">
        <v>-4.9500000000000004E-3</v>
      </c>
      <c r="C11" s="71">
        <v>-7.5427999999999995E-2</v>
      </c>
      <c r="D11" s="71">
        <v>-4.5097999999999999E-2</v>
      </c>
      <c r="E11" s="70">
        <v>2.7605999999999999E-2</v>
      </c>
      <c r="F11" s="71">
        <v>-5.491E-2</v>
      </c>
      <c r="G11" s="71">
        <v>-1.6017E-2</v>
      </c>
      <c r="H11" s="71">
        <v>-4.5525000000000003E-2</v>
      </c>
      <c r="I11" s="71">
        <v>-1.0895E-2</v>
      </c>
      <c r="J11" s="71">
        <v>-5.5506E-2</v>
      </c>
      <c r="K11" s="71">
        <v>-1.2056000000000001E-2</v>
      </c>
    </row>
    <row r="12" spans="1:11" x14ac:dyDescent="0.2">
      <c r="A12" s="68" t="s">
        <v>1271</v>
      </c>
      <c r="B12" s="73">
        <v>-7.463E-3</v>
      </c>
      <c r="C12" s="72">
        <v>0.106252</v>
      </c>
      <c r="D12" s="73">
        <v>-3.041E-2</v>
      </c>
      <c r="E12" s="73">
        <v>-2.4594000000000001E-2</v>
      </c>
      <c r="F12" s="73">
        <v>-1.4525E-2</v>
      </c>
      <c r="G12" s="72">
        <v>3.3263000000000001E-2</v>
      </c>
      <c r="H12" s="73">
        <v>-9.3370999999999996E-2</v>
      </c>
      <c r="I12" s="73">
        <v>-1.2982E-2</v>
      </c>
      <c r="J12" s="72">
        <v>3.9100000000000003E-3</v>
      </c>
      <c r="K12" s="73">
        <v>-2.6332999999999999E-2</v>
      </c>
    </row>
    <row r="13" spans="1:11" x14ac:dyDescent="0.2">
      <c r="A13" s="66" t="s">
        <v>1272</v>
      </c>
      <c r="B13" s="71">
        <v>-2.6315999999999999E-2</v>
      </c>
      <c r="C13" s="70">
        <v>4.8656999999999999E-2</v>
      </c>
      <c r="D13" s="71">
        <v>-2.8842E-2</v>
      </c>
      <c r="E13" s="71">
        <v>-2.7445000000000001E-2</v>
      </c>
      <c r="F13" s="70">
        <v>1.5306E-2</v>
      </c>
      <c r="G13" s="70">
        <v>0.05</v>
      </c>
      <c r="H13" s="71">
        <v>-5.1715999999999998E-2</v>
      </c>
      <c r="I13" s="70">
        <v>1.4747E-2</v>
      </c>
      <c r="J13" s="70">
        <v>1.8647E-2</v>
      </c>
      <c r="K13" s="71">
        <v>-1.0553999999999999E-2</v>
      </c>
    </row>
    <row r="14" spans="1:11" x14ac:dyDescent="0.2">
      <c r="A14" s="68" t="s">
        <v>1273</v>
      </c>
      <c r="B14" s="73">
        <v>-9.6530000000000001E-3</v>
      </c>
      <c r="C14" s="73">
        <v>-6.2590999999999994E-2</v>
      </c>
      <c r="D14" s="73">
        <v>-3.5825999999999997E-2</v>
      </c>
      <c r="E14" s="73">
        <v>-3.3305000000000001E-2</v>
      </c>
      <c r="F14" s="73">
        <v>-5.7509999999999999E-2</v>
      </c>
      <c r="G14" s="73">
        <v>-4.7619000000000002E-2</v>
      </c>
      <c r="H14" s="73">
        <v>-8.2746E-2</v>
      </c>
      <c r="I14" s="73">
        <v>-7.3841000000000004E-2</v>
      </c>
      <c r="J14" s="73">
        <v>-2.0739E-2</v>
      </c>
      <c r="K14" s="73">
        <v>-0.03</v>
      </c>
    </row>
    <row r="15" spans="1:11" x14ac:dyDescent="0.2">
      <c r="A15" s="66" t="s">
        <v>1274</v>
      </c>
      <c r="B15" s="71">
        <v>-4.548E-3</v>
      </c>
      <c r="C15" s="71">
        <v>-9.2549999999999993E-2</v>
      </c>
      <c r="D15" s="71">
        <v>-1.5617000000000001E-2</v>
      </c>
      <c r="E15" s="70">
        <v>3.9709999999999997E-3</v>
      </c>
      <c r="F15" s="71">
        <v>-7.7010000000000004E-3</v>
      </c>
      <c r="G15" s="70">
        <v>6.8499999999999995E-4</v>
      </c>
      <c r="H15" s="71">
        <v>-3.588E-3</v>
      </c>
      <c r="I15" s="71">
        <v>-2.7566E-2</v>
      </c>
      <c r="J15" s="71">
        <v>-4.5670000000000002E-2</v>
      </c>
      <c r="K15" s="70">
        <v>5.4980000000000003E-3</v>
      </c>
    </row>
    <row r="16" spans="1:11" x14ac:dyDescent="0.2">
      <c r="A16" s="68" t="s">
        <v>1275</v>
      </c>
      <c r="B16" s="73">
        <v>-1.3055000000000001E-2</v>
      </c>
      <c r="C16" s="73">
        <v>-0.139489</v>
      </c>
      <c r="D16" s="73">
        <v>-3.7199000000000003E-2</v>
      </c>
      <c r="E16" s="73">
        <v>-4.2021999999999997E-2</v>
      </c>
      <c r="F16" s="73">
        <v>-8.2985000000000003E-2</v>
      </c>
      <c r="G16" s="73">
        <v>-8.0082E-2</v>
      </c>
      <c r="H16" s="73">
        <v>-6.6872000000000001E-2</v>
      </c>
      <c r="I16" s="73">
        <v>-7.2394E-2</v>
      </c>
      <c r="J16" s="73">
        <v>-5.2069999999999998E-2</v>
      </c>
      <c r="K16" s="73">
        <v>-3.6227000000000002E-2</v>
      </c>
    </row>
    <row r="17" spans="1:11" x14ac:dyDescent="0.2">
      <c r="A17" s="66" t="s">
        <v>1276</v>
      </c>
      <c r="B17" s="70">
        <v>9.9209999999999993E-3</v>
      </c>
      <c r="C17" s="71">
        <v>-6.8009E-2</v>
      </c>
      <c r="D17" s="71">
        <v>-3.4318000000000001E-2</v>
      </c>
      <c r="E17" s="71">
        <v>-2.4185000000000002E-2</v>
      </c>
      <c r="F17" s="70">
        <v>5.9895999999999998E-2</v>
      </c>
      <c r="G17" s="70">
        <v>4.2410999999999997E-2</v>
      </c>
      <c r="H17" s="71">
        <v>-1.4333E-2</v>
      </c>
      <c r="I17" s="70">
        <v>5.1246E-2</v>
      </c>
      <c r="J17" s="70">
        <v>1.6348000000000001E-2</v>
      </c>
      <c r="K17" s="70">
        <v>3.1914999999999999E-2</v>
      </c>
    </row>
    <row r="18" spans="1:11" x14ac:dyDescent="0.2">
      <c r="A18" s="68" t="s">
        <v>1277</v>
      </c>
      <c r="B18" s="73">
        <v>-9.8230000000000001E-3</v>
      </c>
      <c r="C18" s="73">
        <v>-5.5968999999999998E-2</v>
      </c>
      <c r="D18" s="72">
        <v>1.1650000000000001E-2</v>
      </c>
      <c r="E18" s="73">
        <v>-3.5720000000000001E-3</v>
      </c>
      <c r="F18" s="73">
        <v>-3.3784000000000002E-2</v>
      </c>
      <c r="G18" s="73">
        <v>-1.3561999999999999E-2</v>
      </c>
      <c r="H18" s="73">
        <v>-2.5727E-2</v>
      </c>
      <c r="I18" s="73">
        <v>-7.6030000000000004E-3</v>
      </c>
      <c r="J18" s="73">
        <v>-4.5940000000000002E-2</v>
      </c>
      <c r="K18" s="73">
        <v>-9.6220000000000003E-3</v>
      </c>
    </row>
    <row r="19" spans="1:11" x14ac:dyDescent="0.2">
      <c r="A19" s="66" t="s">
        <v>1278</v>
      </c>
      <c r="B19" s="71">
        <v>-2.8438999999999999E-2</v>
      </c>
      <c r="C19" s="71">
        <v>-1.2758E-2</v>
      </c>
      <c r="D19" s="71">
        <v>-4.9436000000000001E-2</v>
      </c>
      <c r="E19" s="71">
        <v>-0.112398</v>
      </c>
      <c r="F19" s="71">
        <v>-7.3108999999999993E-2</v>
      </c>
      <c r="G19" s="71">
        <v>-8.2489000000000007E-2</v>
      </c>
      <c r="H19" s="71">
        <v>-0.101607</v>
      </c>
      <c r="I19" s="71">
        <v>-5.9485999999999997E-2</v>
      </c>
      <c r="J19" s="71">
        <v>-0.117211</v>
      </c>
      <c r="K19" s="71">
        <v>-3.8168000000000001E-2</v>
      </c>
    </row>
    <row r="20" spans="1:11" x14ac:dyDescent="0.2">
      <c r="A20" s="68" t="s">
        <v>1279</v>
      </c>
      <c r="B20" s="72">
        <v>4.084E-3</v>
      </c>
      <c r="C20" s="72">
        <v>2.3185000000000001E-2</v>
      </c>
      <c r="D20" s="73">
        <v>-6.7792000000000005E-2</v>
      </c>
      <c r="E20" s="73">
        <v>-6.1017000000000002E-2</v>
      </c>
      <c r="F20" s="72">
        <v>4.8696999999999997E-2</v>
      </c>
      <c r="G20" s="72">
        <v>8.0442E-2</v>
      </c>
      <c r="H20" s="73">
        <v>-2.4281E-2</v>
      </c>
      <c r="I20" s="72">
        <v>1.4369999999999999E-3</v>
      </c>
      <c r="J20" s="73">
        <v>-6.0963000000000003E-2</v>
      </c>
      <c r="K20" s="72">
        <v>6.4939999999999998E-3</v>
      </c>
    </row>
    <row r="21" spans="1:11" x14ac:dyDescent="0.2">
      <c r="A21" s="66" t="s">
        <v>1280</v>
      </c>
      <c r="B21" s="70">
        <v>2.0338999999999999E-2</v>
      </c>
      <c r="C21" s="70">
        <v>0.16716200000000001</v>
      </c>
      <c r="D21" s="70">
        <v>5.0013000000000002E-2</v>
      </c>
      <c r="E21" s="70">
        <v>0.18965099999999999</v>
      </c>
      <c r="F21" s="70">
        <v>1.4388E-2</v>
      </c>
      <c r="G21" s="70">
        <v>2.3358E-2</v>
      </c>
      <c r="H21" s="70">
        <v>0.15193200000000001</v>
      </c>
      <c r="I21" s="70">
        <v>0.105742</v>
      </c>
      <c r="J21" s="70">
        <v>0.124308</v>
      </c>
      <c r="K21" s="70">
        <v>3.5841999999999999E-2</v>
      </c>
    </row>
    <row r="22" spans="1:11" x14ac:dyDescent="0.2">
      <c r="A22" s="68" t="s">
        <v>1281</v>
      </c>
      <c r="B22" s="72">
        <v>1.5282E-2</v>
      </c>
      <c r="C22" s="72">
        <v>1.9095999999999998E-2</v>
      </c>
      <c r="D22" s="72">
        <v>1.9626999999999999E-2</v>
      </c>
      <c r="E22" s="72">
        <v>3.7269999999999998E-3</v>
      </c>
      <c r="F22" s="73">
        <v>-4.4486999999999999E-2</v>
      </c>
      <c r="G22" s="73">
        <v>-3.2097000000000001E-2</v>
      </c>
      <c r="H22" s="73">
        <v>-2.8424999999999999E-2</v>
      </c>
      <c r="I22" s="73">
        <v>-1.4711999999999999E-2</v>
      </c>
      <c r="J22" s="72">
        <v>1.8813E-2</v>
      </c>
      <c r="K22" s="73">
        <v>-6.9200000000000002E-4</v>
      </c>
    </row>
    <row r="23" spans="1:11" x14ac:dyDescent="0.2">
      <c r="A23" s="66" t="s">
        <v>1282</v>
      </c>
      <c r="B23" s="70">
        <v>2.6180000000000001E-3</v>
      </c>
      <c r="C23" s="70">
        <v>9.9001000000000006E-2</v>
      </c>
      <c r="D23" s="70">
        <v>2.8445000000000002E-2</v>
      </c>
      <c r="E23" s="70">
        <v>8.5952000000000001E-2</v>
      </c>
      <c r="F23" s="70">
        <v>5.0606999999999999E-2</v>
      </c>
      <c r="G23" s="70">
        <v>4.7899999999999998E-2</v>
      </c>
      <c r="H23" s="70">
        <v>9.5963000000000007E-2</v>
      </c>
      <c r="I23" s="70">
        <v>7.2025000000000006E-2</v>
      </c>
      <c r="J23" s="70">
        <v>7.6135999999999995E-2</v>
      </c>
      <c r="K23" s="70">
        <v>3.2548000000000001E-2</v>
      </c>
    </row>
    <row r="24" spans="1:11" x14ac:dyDescent="0.2">
      <c r="A24" s="68" t="s">
        <v>1283</v>
      </c>
      <c r="B24" s="73">
        <v>-1.6971E-2</v>
      </c>
      <c r="C24" s="73">
        <v>-0.12446699999999999</v>
      </c>
      <c r="D24" s="73">
        <v>-1.8360000000000001E-2</v>
      </c>
      <c r="E24" s="73">
        <v>-5.2408999999999997E-2</v>
      </c>
      <c r="F24" s="72">
        <v>6.4229999999999999E-3</v>
      </c>
      <c r="G24" s="73">
        <v>-3.2349000000000003E-2</v>
      </c>
      <c r="H24" s="73">
        <v>-5.5525999999999999E-2</v>
      </c>
      <c r="I24" s="73">
        <v>-5.3256999999999999E-2</v>
      </c>
      <c r="J24" s="73">
        <v>-6.2565999999999997E-2</v>
      </c>
      <c r="K24" s="73">
        <v>-2.4145E-2</v>
      </c>
    </row>
    <row r="25" spans="1:11" x14ac:dyDescent="0.2">
      <c r="A25" s="66" t="s">
        <v>1284</v>
      </c>
      <c r="B25" s="70">
        <v>2.9215999999999999E-2</v>
      </c>
      <c r="C25" s="70">
        <v>0.17039899999999999</v>
      </c>
      <c r="D25" s="70">
        <v>2.3080000000000002E-3</v>
      </c>
      <c r="E25" s="70">
        <v>2.7896000000000001E-2</v>
      </c>
      <c r="F25" s="71">
        <v>-6.38E-4</v>
      </c>
      <c r="G25" s="71">
        <v>-2.6890000000000001E-2</v>
      </c>
      <c r="H25" s="70">
        <v>1.3002E-2</v>
      </c>
      <c r="I25" s="70">
        <v>5.1492999999999997E-2</v>
      </c>
      <c r="J25" s="71">
        <v>-1.6896999999999999E-2</v>
      </c>
      <c r="K25" s="70">
        <v>1.2371E-2</v>
      </c>
    </row>
    <row r="26" spans="1:11" x14ac:dyDescent="0.2">
      <c r="A26" s="68" t="s">
        <v>1285</v>
      </c>
      <c r="B26" s="72">
        <v>1.2258E-2</v>
      </c>
      <c r="C26" s="72">
        <v>3.0505000000000001E-2</v>
      </c>
      <c r="D26" s="73">
        <v>-3.15E-3</v>
      </c>
      <c r="E26" s="73">
        <v>-1.8023000000000001E-2</v>
      </c>
      <c r="F26" s="72">
        <v>2.0434000000000001E-2</v>
      </c>
      <c r="G26" s="72">
        <v>1.0456E-2</v>
      </c>
      <c r="H26" s="73">
        <v>-1.8973E-2</v>
      </c>
      <c r="I26" s="73">
        <v>-9.8770000000000004E-3</v>
      </c>
      <c r="J26" s="73">
        <v>-2.0049999999999998E-3</v>
      </c>
      <c r="K26" s="72">
        <v>2.7160000000000001E-3</v>
      </c>
    </row>
    <row r="27" spans="1:11" x14ac:dyDescent="0.2">
      <c r="A27" s="66" t="s">
        <v>1286</v>
      </c>
      <c r="B27" s="70">
        <v>2.5490000000000001E-3</v>
      </c>
      <c r="C27" s="71">
        <v>-7.8848000000000001E-2</v>
      </c>
      <c r="D27" s="71">
        <v>-1.2034E-2</v>
      </c>
      <c r="E27" s="71">
        <v>-1.9314000000000001E-2</v>
      </c>
      <c r="F27" s="70">
        <v>1.0638E-2</v>
      </c>
      <c r="G27" s="71">
        <v>-3.6955000000000002E-2</v>
      </c>
      <c r="H27" s="71">
        <v>-2.7303999999999998E-2</v>
      </c>
      <c r="I27" s="71">
        <v>-6.7747000000000002E-2</v>
      </c>
      <c r="J27" s="71">
        <v>-6.4294000000000004E-2</v>
      </c>
      <c r="K27" s="71">
        <v>-6.0930000000000003E-3</v>
      </c>
    </row>
    <row r="28" spans="1:11" x14ac:dyDescent="0.2">
      <c r="A28" s="68" t="s">
        <v>1287</v>
      </c>
      <c r="B28" s="73">
        <v>-6.9930000000000001E-3</v>
      </c>
      <c r="C28" s="73">
        <v>-3.0091E-2</v>
      </c>
      <c r="D28" s="72">
        <v>8.489E-3</v>
      </c>
      <c r="E28" s="72">
        <v>3.5307999999999999E-2</v>
      </c>
      <c r="F28" s="72">
        <v>6.1920000000000003E-2</v>
      </c>
      <c r="G28" s="72">
        <v>6.9070999999999994E-2</v>
      </c>
      <c r="H28" s="72">
        <v>6.0818999999999998E-2</v>
      </c>
      <c r="I28" s="72">
        <v>1.6496E-2</v>
      </c>
      <c r="J28" s="73">
        <v>-3.9880000000000002E-3</v>
      </c>
      <c r="K28" s="72">
        <v>1.158E-2</v>
      </c>
    </row>
    <row r="29" spans="1:11" x14ac:dyDescent="0.2">
      <c r="A29" s="66" t="s">
        <v>1288</v>
      </c>
      <c r="B29" s="71">
        <v>-2.5609999999999999E-3</v>
      </c>
      <c r="C29" s="70">
        <v>4.9699E-2</v>
      </c>
      <c r="D29" s="71">
        <v>-1.5493E-2</v>
      </c>
      <c r="E29" s="70">
        <v>5.1235000000000003E-2</v>
      </c>
      <c r="F29" s="70">
        <v>4.0819999999999997E-3</v>
      </c>
      <c r="G29" s="70">
        <v>5.9583999999999998E-2</v>
      </c>
      <c r="H29" s="70">
        <v>3.9140000000000001E-2</v>
      </c>
      <c r="I29" s="70">
        <v>9.5174999999999996E-2</v>
      </c>
      <c r="J29" s="70">
        <v>3.0952E-2</v>
      </c>
      <c r="K29" s="70">
        <v>1.0101000000000001E-2</v>
      </c>
    </row>
    <row r="30" spans="1:11" x14ac:dyDescent="0.2">
      <c r="A30" s="68" t="s">
        <v>1289</v>
      </c>
      <c r="B30" s="73">
        <v>-1.8613999999999999E-2</v>
      </c>
      <c r="C30" s="73">
        <v>-4.9067E-2</v>
      </c>
      <c r="D30" s="73">
        <v>-1.6480999999999999E-2</v>
      </c>
      <c r="E30" s="73">
        <v>-7.1332000000000007E-2</v>
      </c>
      <c r="F30" s="73">
        <v>-1.3937E-2</v>
      </c>
      <c r="G30" s="73">
        <v>-3.0488000000000001E-2</v>
      </c>
      <c r="H30" s="73">
        <v>-5.0397999999999998E-2</v>
      </c>
      <c r="I30" s="73">
        <v>-7.0885000000000004E-2</v>
      </c>
      <c r="J30" s="73">
        <v>-5.8701000000000003E-2</v>
      </c>
      <c r="K30" s="73">
        <v>-2.6670000000000001E-3</v>
      </c>
    </row>
    <row r="31" spans="1:11" x14ac:dyDescent="0.2">
      <c r="A31" s="66" t="s">
        <v>1290</v>
      </c>
      <c r="B31" s="71">
        <v>-9.1559999999999992E-3</v>
      </c>
      <c r="C31" s="71">
        <v>-8.2980999999999999E-2</v>
      </c>
      <c r="D31" s="71">
        <v>-9.0709999999999992E-3</v>
      </c>
      <c r="E31" s="71">
        <v>-1.7385999999999999E-2</v>
      </c>
      <c r="F31" s="71">
        <v>-3.1801999999999997E-2</v>
      </c>
      <c r="G31" s="71">
        <v>-1.6771000000000001E-2</v>
      </c>
      <c r="H31" s="71">
        <v>-3.5754000000000001E-2</v>
      </c>
      <c r="I31" s="71">
        <v>-6.4660000000000004E-3</v>
      </c>
      <c r="J31" s="71">
        <v>-4.6493E-2</v>
      </c>
      <c r="K31" s="71">
        <v>-1.5374000000000001E-2</v>
      </c>
    </row>
    <row r="32" spans="1:11" x14ac:dyDescent="0.2">
      <c r="A32" s="68" t="s">
        <v>1291</v>
      </c>
      <c r="B32" s="72">
        <v>1.98E-3</v>
      </c>
      <c r="C32" s="72">
        <v>4.0474000000000003E-2</v>
      </c>
      <c r="D32" s="73">
        <v>-2.4412E-2</v>
      </c>
      <c r="E32" s="73">
        <v>-4.7822999999999997E-2</v>
      </c>
      <c r="F32" s="73">
        <v>-3.4672000000000001E-2</v>
      </c>
      <c r="G32" s="73">
        <v>-2.6297000000000001E-2</v>
      </c>
      <c r="H32" s="73">
        <v>-5.0985000000000003E-2</v>
      </c>
      <c r="I32" s="73">
        <v>-5.2061000000000003E-2</v>
      </c>
      <c r="J32" s="73">
        <v>-7.7716999999999994E-2</v>
      </c>
      <c r="K32" s="73">
        <v>-1.222E-2</v>
      </c>
    </row>
    <row r="33" spans="1:11" x14ac:dyDescent="0.2">
      <c r="A33" s="66" t="s">
        <v>1292</v>
      </c>
      <c r="B33" s="70">
        <v>2.4374E-2</v>
      </c>
      <c r="C33" s="70">
        <v>7.7482999999999996E-2</v>
      </c>
      <c r="D33" s="70">
        <v>4.5224E-2</v>
      </c>
      <c r="E33" s="70">
        <v>5.2410999999999999E-2</v>
      </c>
      <c r="F33" s="70">
        <v>6.8053000000000002E-2</v>
      </c>
      <c r="G33" s="70">
        <v>6.1314E-2</v>
      </c>
      <c r="H33" s="70">
        <v>7.3871000000000006E-2</v>
      </c>
      <c r="I33" s="70">
        <v>1.5561E-2</v>
      </c>
      <c r="J33" s="70">
        <v>9.1663999999999995E-2</v>
      </c>
      <c r="K33" s="70">
        <v>3.9175000000000001E-2</v>
      </c>
    </row>
    <row r="34" spans="1:11" x14ac:dyDescent="0.2">
      <c r="A34" s="68" t="s">
        <v>1293</v>
      </c>
      <c r="B34" s="72">
        <v>2.5080000000000002E-2</v>
      </c>
      <c r="C34" s="72">
        <v>5.8699999999999996E-4</v>
      </c>
      <c r="D34" s="72">
        <v>2.9676000000000001E-2</v>
      </c>
      <c r="E34" s="72">
        <v>3.6899000000000001E-2</v>
      </c>
      <c r="F34" s="72">
        <v>4.0708000000000001E-2</v>
      </c>
      <c r="G34" s="72">
        <v>4.0578000000000003E-2</v>
      </c>
      <c r="H34" s="72">
        <v>4.1501000000000003E-2</v>
      </c>
      <c r="I34" s="72">
        <v>7.3006000000000001E-2</v>
      </c>
      <c r="J34" s="72">
        <v>9.3058000000000002E-2</v>
      </c>
      <c r="K34" s="72">
        <v>2.7778000000000001E-2</v>
      </c>
    </row>
    <row r="35" spans="1:11" x14ac:dyDescent="0.2">
      <c r="A35" s="66" t="s">
        <v>1294</v>
      </c>
      <c r="B35" s="71">
        <v>-6.901E-3</v>
      </c>
      <c r="C35" s="71">
        <v>-8.2136000000000001E-2</v>
      </c>
      <c r="D35" s="71">
        <v>-4.4809999999999997E-3</v>
      </c>
      <c r="E35" s="71">
        <v>-4.4232E-2</v>
      </c>
      <c r="F35" s="70">
        <v>1.9841000000000001E-2</v>
      </c>
      <c r="G35" s="71">
        <v>-4.627E-3</v>
      </c>
      <c r="H35" s="71">
        <v>-2.3472E-2</v>
      </c>
      <c r="I35" s="71">
        <v>-5.3338999999999998E-2</v>
      </c>
      <c r="J35" s="71">
        <v>-6.5325999999999995E-2</v>
      </c>
      <c r="K35" s="70">
        <v>5.1479999999999998E-3</v>
      </c>
    </row>
    <row r="36" spans="1:11" x14ac:dyDescent="0.2">
      <c r="A36" s="68" t="s">
        <v>1295</v>
      </c>
      <c r="B36" s="73">
        <v>-1.1370999999999999E-2</v>
      </c>
      <c r="C36" s="73">
        <v>-7.0309999999999997E-2</v>
      </c>
      <c r="D36" s="72">
        <v>2.676E-3</v>
      </c>
      <c r="E36" s="72">
        <v>4.5066000000000002E-2</v>
      </c>
      <c r="F36" s="72">
        <v>3.6131000000000003E-2</v>
      </c>
      <c r="G36" s="72">
        <v>2.988E-2</v>
      </c>
      <c r="H36" s="72">
        <v>4.0805000000000001E-2</v>
      </c>
      <c r="I36" s="72">
        <v>2.6619999999999999E-3</v>
      </c>
      <c r="J36" s="73">
        <v>-3.3489999999999999E-2</v>
      </c>
      <c r="K36" s="73">
        <v>-4.4809999999999997E-3</v>
      </c>
    </row>
    <row r="37" spans="1:11" x14ac:dyDescent="0.2">
      <c r="A37" s="66" t="s">
        <v>1296</v>
      </c>
      <c r="B37" s="70">
        <v>2.5560000000000001E-3</v>
      </c>
      <c r="C37" s="70">
        <v>0.18700600000000001</v>
      </c>
      <c r="D37" s="70">
        <v>9.5840000000000005E-3</v>
      </c>
      <c r="E37" s="70">
        <v>4.5497999999999997E-2</v>
      </c>
      <c r="F37" s="70">
        <v>4.4527999999999998E-2</v>
      </c>
      <c r="G37" s="70">
        <v>5.4158999999999999E-2</v>
      </c>
      <c r="H37" s="70">
        <v>4.5113E-2</v>
      </c>
      <c r="I37" s="70">
        <v>4.6460000000000001E-2</v>
      </c>
      <c r="J37" s="71">
        <v>-1.5734999999999999E-2</v>
      </c>
      <c r="K37" s="70">
        <v>1.2219000000000001E-2</v>
      </c>
    </row>
    <row r="38" spans="1:11" x14ac:dyDescent="0.2">
      <c r="A38" s="68" t="s">
        <v>1297</v>
      </c>
      <c r="B38" s="73">
        <v>-2.2945E-2</v>
      </c>
      <c r="C38" s="72">
        <v>6.1975000000000002E-2</v>
      </c>
      <c r="D38" s="73">
        <v>-2.7036999999999999E-2</v>
      </c>
      <c r="E38" s="72">
        <v>3.7859999999999999E-3</v>
      </c>
      <c r="F38" s="73">
        <v>-2.3626000000000001E-2</v>
      </c>
      <c r="G38" s="73">
        <v>-3.6697E-2</v>
      </c>
      <c r="H38" s="73">
        <v>-9.2499999999999995E-3</v>
      </c>
      <c r="I38" s="72">
        <v>5.6237000000000002E-2</v>
      </c>
      <c r="J38" s="73">
        <v>-4.9149999999999999E-2</v>
      </c>
      <c r="K38" s="73">
        <v>-1.6518000000000001E-2</v>
      </c>
    </row>
    <row r="39" spans="1:11" x14ac:dyDescent="0.2">
      <c r="A39" s="66" t="s">
        <v>1298</v>
      </c>
      <c r="B39" s="70">
        <v>1.4350999999999999E-2</v>
      </c>
      <c r="C39" s="70">
        <v>6.2722E-2</v>
      </c>
      <c r="D39" s="70">
        <v>1.6178999999999999E-2</v>
      </c>
      <c r="E39" s="70">
        <v>3.6210000000000001E-3</v>
      </c>
      <c r="F39" s="70">
        <v>1.9989E-2</v>
      </c>
      <c r="G39" s="71">
        <v>-5.7140000000000003E-3</v>
      </c>
      <c r="H39" s="70">
        <v>7.7799999999999996E-3</v>
      </c>
      <c r="I39" s="70">
        <v>3.3626999999999997E-2</v>
      </c>
      <c r="J39" s="70">
        <v>1.073E-3</v>
      </c>
      <c r="K39" s="70">
        <v>1.6150000000000001E-2</v>
      </c>
    </row>
    <row r="40" spans="1:11" x14ac:dyDescent="0.2">
      <c r="A40" s="68" t="s">
        <v>1299</v>
      </c>
      <c r="B40" s="72">
        <v>1.4148000000000001E-2</v>
      </c>
      <c r="C40" s="73">
        <v>-3.8490999999999997E-2</v>
      </c>
      <c r="D40" s="72">
        <v>1.1789000000000001E-2</v>
      </c>
      <c r="E40" s="72">
        <v>3.8537000000000002E-2</v>
      </c>
      <c r="F40" s="72">
        <v>2.3723999999999999E-2</v>
      </c>
      <c r="G40" s="72">
        <v>2.4265999999999999E-2</v>
      </c>
      <c r="H40" s="72">
        <v>3.2424000000000001E-2</v>
      </c>
      <c r="I40" s="72">
        <v>1.0843999999999999E-2</v>
      </c>
      <c r="J40" s="73">
        <v>-3.2696000000000003E-2</v>
      </c>
      <c r="K40" s="72">
        <v>2.5430000000000001E-3</v>
      </c>
    </row>
    <row r="41" spans="1:11" x14ac:dyDescent="0.2">
      <c r="A41" s="66" t="s">
        <v>1300</v>
      </c>
      <c r="B41" s="70">
        <v>2.0292000000000001E-2</v>
      </c>
      <c r="C41" s="70">
        <v>8.3266999999999994E-2</v>
      </c>
      <c r="D41" s="71">
        <v>-7.2099999999999996E-4</v>
      </c>
      <c r="E41" s="71">
        <v>-6.1279999999999998E-3</v>
      </c>
      <c r="F41" s="70">
        <v>0</v>
      </c>
      <c r="G41" s="70">
        <v>4.4887999999999997E-2</v>
      </c>
      <c r="H41" s="71">
        <v>-9.9699999999999997E-3</v>
      </c>
      <c r="I41" s="70">
        <v>5.5171999999999999E-2</v>
      </c>
      <c r="J41" s="70">
        <v>5.2456999999999997E-2</v>
      </c>
      <c r="K41" s="70">
        <v>2.0926E-2</v>
      </c>
    </row>
    <row r="42" spans="1:11" x14ac:dyDescent="0.2">
      <c r="A42" s="68" t="s">
        <v>1301</v>
      </c>
      <c r="B42" s="72">
        <v>1.1809E-2</v>
      </c>
      <c r="C42" s="72">
        <v>5.5678999999999999E-2</v>
      </c>
      <c r="D42" s="72">
        <v>1.5025999999999999E-2</v>
      </c>
      <c r="E42" s="72">
        <v>1.7964000000000001E-2</v>
      </c>
      <c r="F42" s="73">
        <v>-1.0579E-2</v>
      </c>
      <c r="G42" s="73">
        <v>-1.2529999999999999E-2</v>
      </c>
      <c r="H42" s="72">
        <v>8.0560000000000007E-3</v>
      </c>
      <c r="I42" s="72">
        <v>4.7204000000000003E-2</v>
      </c>
      <c r="J42" s="72">
        <v>8.3012000000000002E-2</v>
      </c>
      <c r="K42" s="72">
        <v>6.8320000000000004E-3</v>
      </c>
    </row>
    <row r="43" spans="1:11" x14ac:dyDescent="0.2">
      <c r="A43" s="66" t="s">
        <v>1302</v>
      </c>
      <c r="B43" s="70">
        <v>1.7198999999999999E-2</v>
      </c>
      <c r="C43" s="70">
        <v>3.3371999999999999E-2</v>
      </c>
      <c r="D43" s="70">
        <v>1.2909E-2</v>
      </c>
      <c r="E43" s="70">
        <v>8.6277999999999994E-2</v>
      </c>
      <c r="F43" s="71">
        <v>-1.5269999999999999E-3</v>
      </c>
      <c r="G43" s="71">
        <v>-9.0629999999999999E-3</v>
      </c>
      <c r="H43" s="70">
        <v>3.0969E-2</v>
      </c>
      <c r="I43" s="70">
        <v>9.1192999999999996E-2</v>
      </c>
      <c r="J43" s="70">
        <v>4.8613999999999997E-2</v>
      </c>
      <c r="K43" s="70">
        <v>1.2955E-2</v>
      </c>
    </row>
    <row r="44" spans="1:11" x14ac:dyDescent="0.2">
      <c r="A44" s="68" t="s">
        <v>1303</v>
      </c>
      <c r="B44" s="73">
        <v>-7.8499999999999993E-3</v>
      </c>
      <c r="C44" s="72">
        <v>1.7614999999999999E-2</v>
      </c>
      <c r="D44" s="73">
        <v>-2.3033000000000001E-2</v>
      </c>
      <c r="E44" s="73">
        <v>-5.8219E-2</v>
      </c>
      <c r="F44" s="72">
        <v>4.0800000000000003E-3</v>
      </c>
      <c r="G44" s="73">
        <v>-1.8289999999999999E-3</v>
      </c>
      <c r="H44" s="73">
        <v>-3.1491999999999999E-2</v>
      </c>
      <c r="I44" s="73">
        <v>-2.8916000000000001E-2</v>
      </c>
      <c r="J44" s="73">
        <v>-8.5149000000000002E-2</v>
      </c>
      <c r="K44" s="73">
        <v>-1.7661E-2</v>
      </c>
    </row>
    <row r="45" spans="1:11" x14ac:dyDescent="0.2">
      <c r="A45" s="66" t="s">
        <v>1304</v>
      </c>
      <c r="B45" s="70">
        <v>3.591E-3</v>
      </c>
      <c r="C45" s="71">
        <v>-5.6147000000000002E-2</v>
      </c>
      <c r="D45" s="70">
        <v>1.2E-4</v>
      </c>
      <c r="E45" s="71">
        <v>-2.8251999999999999E-2</v>
      </c>
      <c r="F45" s="70">
        <v>6.4500000000000002E-2</v>
      </c>
      <c r="G45" s="70">
        <v>7.0860999999999993E-2</v>
      </c>
      <c r="H45" s="71">
        <v>-2.6512999999999998E-2</v>
      </c>
      <c r="I45" s="70">
        <v>7.8861000000000001E-2</v>
      </c>
      <c r="J45" s="71">
        <v>-4.8311E-2</v>
      </c>
      <c r="K45" s="70">
        <v>1.4879E-2</v>
      </c>
    </row>
    <row r="46" spans="1:11" x14ac:dyDescent="0.2">
      <c r="A46" s="68" t="s">
        <v>1305</v>
      </c>
      <c r="B46" s="73">
        <v>-6.7920000000000003E-3</v>
      </c>
      <c r="C46" s="73">
        <v>-8.9583999999999997E-2</v>
      </c>
      <c r="D46" s="73">
        <v>-1.0410000000000001E-2</v>
      </c>
      <c r="E46" s="73">
        <v>-7.868E-3</v>
      </c>
      <c r="F46" s="73">
        <v>-1.8606999999999999E-2</v>
      </c>
      <c r="G46" s="73">
        <v>-6.6742999999999997E-2</v>
      </c>
      <c r="H46" s="73">
        <v>-1.6958000000000001E-2</v>
      </c>
      <c r="I46" s="73">
        <v>-1.3952000000000001E-2</v>
      </c>
      <c r="J46" s="73">
        <v>-4.5970999999999998E-2</v>
      </c>
      <c r="K46" s="73">
        <v>-7.3299999999999997E-3</v>
      </c>
    </row>
    <row r="47" spans="1:11" x14ac:dyDescent="0.2">
      <c r="A47" s="66" t="s">
        <v>1306</v>
      </c>
      <c r="B47" s="71">
        <v>-2.6259999999999999E-3</v>
      </c>
      <c r="C47" s="70">
        <v>0.152893</v>
      </c>
      <c r="D47" s="71">
        <v>-1.1849999999999999E-2</v>
      </c>
      <c r="E47" s="70">
        <v>8.2690000000000003E-3</v>
      </c>
      <c r="F47" s="70">
        <v>4.6670000000000003E-2</v>
      </c>
      <c r="G47" s="70">
        <v>4.9510999999999999E-2</v>
      </c>
      <c r="H47" s="70">
        <v>1.4637000000000001E-2</v>
      </c>
      <c r="I47" s="70">
        <v>4.0294999999999997E-2</v>
      </c>
      <c r="J47" s="71">
        <v>-7.2560000000000003E-3</v>
      </c>
      <c r="K47" s="70">
        <v>1.0462000000000001E-2</v>
      </c>
    </row>
    <row r="48" spans="1:11" x14ac:dyDescent="0.2">
      <c r="A48" s="68" t="s">
        <v>1307</v>
      </c>
      <c r="B48" s="72">
        <v>1.1571E-2</v>
      </c>
      <c r="C48" s="73">
        <v>-1.2545000000000001E-2</v>
      </c>
      <c r="D48" s="72">
        <v>1.9578999999999999E-2</v>
      </c>
      <c r="E48" s="72">
        <v>3.8400000000000001E-4</v>
      </c>
      <c r="F48" s="73">
        <v>-3.9480000000000001E-2</v>
      </c>
      <c r="G48" s="73">
        <v>-3.0284999999999999E-2</v>
      </c>
      <c r="H48" s="73">
        <v>-1.9578000000000002E-2</v>
      </c>
      <c r="I48" s="72">
        <v>1.5671000000000001E-2</v>
      </c>
      <c r="J48" s="73">
        <v>-5.6220000000000003E-3</v>
      </c>
      <c r="K48" s="72">
        <v>1.7661E-2</v>
      </c>
    </row>
    <row r="49" spans="1:11" x14ac:dyDescent="0.2">
      <c r="A49" s="66" t="s">
        <v>1308</v>
      </c>
      <c r="B49" s="70">
        <v>6.476E-3</v>
      </c>
      <c r="C49" s="70">
        <v>0.148593</v>
      </c>
      <c r="D49" s="70">
        <v>5.9999999999999995E-4</v>
      </c>
      <c r="E49" s="70">
        <v>6.3280000000000003E-3</v>
      </c>
      <c r="F49" s="71">
        <v>-4.5455000000000002E-2</v>
      </c>
      <c r="G49" s="71">
        <v>-3.1831999999999999E-2</v>
      </c>
      <c r="H49" s="70">
        <v>1.051E-2</v>
      </c>
      <c r="I49" s="70">
        <v>2.1833999999999999E-2</v>
      </c>
      <c r="J49" s="70">
        <v>3.6561999999999997E-2</v>
      </c>
      <c r="K49" s="70">
        <v>1.7949999999999999E-3</v>
      </c>
    </row>
    <row r="50" spans="1:11" x14ac:dyDescent="0.2">
      <c r="A50" s="68" t="s">
        <v>1309</v>
      </c>
      <c r="B50" s="72">
        <v>1.5093000000000001E-2</v>
      </c>
      <c r="C50" s="72">
        <v>7.8214000000000006E-2</v>
      </c>
      <c r="D50" s="73">
        <v>-2.0990999999999999E-2</v>
      </c>
      <c r="E50" s="73">
        <v>-2.8600000000000001E-4</v>
      </c>
      <c r="F50" s="73">
        <v>-1.8744E-2</v>
      </c>
      <c r="G50" s="73">
        <v>-3.4118999999999997E-2</v>
      </c>
      <c r="H50" s="72">
        <v>1.5081000000000001E-2</v>
      </c>
      <c r="I50" s="72">
        <v>5.1279999999999997E-3</v>
      </c>
      <c r="J50" s="72">
        <v>9.8180000000000003E-3</v>
      </c>
      <c r="K50" s="73">
        <v>-5.9699999999999998E-4</v>
      </c>
    </row>
    <row r="51" spans="1:11" x14ac:dyDescent="0.2">
      <c r="A51" s="66" t="s">
        <v>1310</v>
      </c>
      <c r="B51" s="70">
        <v>6.398E-3</v>
      </c>
      <c r="C51" s="70">
        <v>4.6162000000000002E-2</v>
      </c>
      <c r="D51" s="70">
        <v>3.0630000000000002E-3</v>
      </c>
      <c r="E51" s="70">
        <v>4.9845E-2</v>
      </c>
      <c r="F51" s="70">
        <v>7.0727999999999999E-2</v>
      </c>
      <c r="G51" s="70">
        <v>3.2113000000000003E-2</v>
      </c>
      <c r="H51" s="70">
        <v>6.3524999999999998E-2</v>
      </c>
      <c r="I51" s="70">
        <v>5.7822999999999999E-2</v>
      </c>
      <c r="J51" s="70">
        <v>7.3819999999999997E-3</v>
      </c>
      <c r="K51" s="71">
        <v>-1.1950000000000001E-3</v>
      </c>
    </row>
    <row r="52" spans="1:11" x14ac:dyDescent="0.2">
      <c r="A52" s="68" t="s">
        <v>1311</v>
      </c>
      <c r="B52" s="72">
        <v>2.2721000000000002E-2</v>
      </c>
      <c r="C52" s="72">
        <v>1.6809999999999999E-2</v>
      </c>
      <c r="D52" s="72">
        <v>1.2581E-2</v>
      </c>
      <c r="E52" s="72">
        <v>5.1154999999999999E-2</v>
      </c>
      <c r="F52" s="72">
        <v>2.9412000000000001E-2</v>
      </c>
      <c r="G52" s="72">
        <v>2.5513000000000001E-2</v>
      </c>
      <c r="H52" s="72">
        <v>5.6357999999999998E-2</v>
      </c>
      <c r="I52" s="72">
        <v>3.2154000000000002E-2</v>
      </c>
      <c r="J52" s="72">
        <v>5.2011000000000002E-2</v>
      </c>
      <c r="K52" s="72">
        <v>1.9748999999999999E-2</v>
      </c>
    </row>
    <row r="53" spans="1:11" x14ac:dyDescent="0.2">
      <c r="A53" s="66" t="s">
        <v>1312</v>
      </c>
      <c r="B53" s="70">
        <v>1.2834999999999999E-2</v>
      </c>
      <c r="C53" s="70">
        <v>3.444E-3</v>
      </c>
      <c r="D53" s="71">
        <v>-5.0660000000000002E-3</v>
      </c>
      <c r="E53" s="70">
        <v>2.4743000000000001E-2</v>
      </c>
      <c r="F53" s="70">
        <v>4.5433000000000001E-2</v>
      </c>
      <c r="G53" s="70">
        <v>1.0921999999999999E-2</v>
      </c>
      <c r="H53" s="70">
        <v>1.2312E-2</v>
      </c>
      <c r="I53" s="70">
        <v>4.9325000000000001E-2</v>
      </c>
      <c r="J53" s="70">
        <v>9.1739999999999999E-3</v>
      </c>
      <c r="K53" s="70">
        <v>0</v>
      </c>
    </row>
    <row r="54" spans="1:11" x14ac:dyDescent="0.2">
      <c r="A54" s="68" t="s">
        <v>1313</v>
      </c>
      <c r="B54" s="72">
        <v>2.6877999999999999E-2</v>
      </c>
      <c r="C54" s="72">
        <v>0.17504700000000001</v>
      </c>
      <c r="D54" s="72">
        <v>1.1882E-2</v>
      </c>
      <c r="E54" s="72">
        <v>9.3130000000000001E-3</v>
      </c>
      <c r="F54" s="72">
        <v>7.6160000000000004E-3</v>
      </c>
      <c r="G54" s="72">
        <v>2.1609E-2</v>
      </c>
      <c r="H54" s="72">
        <v>4.7747999999999999E-2</v>
      </c>
      <c r="I54" s="72">
        <v>0.10638300000000001</v>
      </c>
      <c r="J54" s="72">
        <v>3.1313000000000001E-2</v>
      </c>
      <c r="K54" s="72">
        <v>1.5258000000000001E-2</v>
      </c>
    </row>
    <row r="55" spans="1:11" x14ac:dyDescent="0.2">
      <c r="A55" s="66" t="s">
        <v>1314</v>
      </c>
      <c r="B55" s="70">
        <v>2.2130000000000001E-3</v>
      </c>
      <c r="C55" s="70">
        <v>0.22287100000000001</v>
      </c>
      <c r="D55" s="70">
        <v>1.306E-2</v>
      </c>
      <c r="E55" s="70">
        <v>7.1434999999999998E-2</v>
      </c>
      <c r="F55" s="70">
        <v>3.0235999999999999E-2</v>
      </c>
      <c r="G55" s="70">
        <v>9.4009999999999996E-3</v>
      </c>
      <c r="H55" s="70">
        <v>6.5778000000000003E-2</v>
      </c>
      <c r="I55" s="70">
        <v>9.3919999999999993E-3</v>
      </c>
      <c r="J55" s="70">
        <v>5.8770000000000003E-3</v>
      </c>
      <c r="K55" s="70">
        <v>7.5139999999999998E-3</v>
      </c>
    </row>
    <row r="56" spans="1:11" x14ac:dyDescent="0.2">
      <c r="A56" s="68" t="s">
        <v>1315</v>
      </c>
      <c r="B56" s="72">
        <v>4.4200000000000001E-4</v>
      </c>
      <c r="C56" s="73">
        <v>-3.9890000000000002E-2</v>
      </c>
      <c r="D56" s="73">
        <v>-6.032E-3</v>
      </c>
      <c r="E56" s="72">
        <v>5.1475E-2</v>
      </c>
      <c r="F56" s="72">
        <v>3.3663999999999999E-2</v>
      </c>
      <c r="G56" s="72">
        <v>4.0749999999999996E-3</v>
      </c>
      <c r="H56" s="72">
        <v>2.622E-2</v>
      </c>
      <c r="I56" s="72">
        <v>2.6362E-2</v>
      </c>
      <c r="J56" s="72">
        <v>3.7330000000000002E-3</v>
      </c>
      <c r="K56" s="72">
        <v>1.1474E-2</v>
      </c>
    </row>
    <row r="57" spans="1:11" x14ac:dyDescent="0.2">
      <c r="A57" s="66" t="s">
        <v>1316</v>
      </c>
      <c r="B57" s="71">
        <v>-8.5550000000000001E-3</v>
      </c>
      <c r="C57" s="70">
        <v>0.154248</v>
      </c>
      <c r="D57" s="70">
        <v>1.0709999999999999E-3</v>
      </c>
      <c r="E57" s="71">
        <v>-1.1821999999999999E-2</v>
      </c>
      <c r="F57" s="70">
        <v>7.5160000000000001E-3</v>
      </c>
      <c r="G57" s="70">
        <v>3.3043000000000003E-2</v>
      </c>
      <c r="H57" s="71">
        <v>-1.2971999999999999E-2</v>
      </c>
      <c r="I57" s="71">
        <v>-8.4180000000000001E-3</v>
      </c>
      <c r="J57" s="71">
        <v>-1.4713E-2</v>
      </c>
      <c r="K57" s="70">
        <v>6.8069999999999997E-3</v>
      </c>
    </row>
    <row r="58" spans="1:11" x14ac:dyDescent="0.2">
      <c r="A58" s="68" t="s">
        <v>1317</v>
      </c>
      <c r="B58" s="73">
        <v>-6.0679999999999996E-3</v>
      </c>
      <c r="C58" s="72">
        <v>8.2767999999999994E-2</v>
      </c>
      <c r="D58" s="72">
        <v>8.3199999999999995E-4</v>
      </c>
      <c r="E58" s="72">
        <v>3.0227E-2</v>
      </c>
      <c r="F58" s="73">
        <v>-5.8019999999999999E-3</v>
      </c>
      <c r="G58" s="72">
        <v>4.4889999999999999E-3</v>
      </c>
      <c r="H58" s="72">
        <v>4.6197000000000002E-2</v>
      </c>
      <c r="I58" s="72">
        <v>4.0923000000000001E-2</v>
      </c>
      <c r="J58" s="72">
        <v>5.9069999999999999E-3</v>
      </c>
      <c r="K58" s="72">
        <v>2.8170000000000001E-3</v>
      </c>
    </row>
    <row r="59" spans="1:11" x14ac:dyDescent="0.2">
      <c r="A59" s="66" t="s">
        <v>1318</v>
      </c>
      <c r="B59" s="70">
        <v>6.7210000000000004E-3</v>
      </c>
      <c r="C59" s="70">
        <v>0.14083799999999999</v>
      </c>
      <c r="D59" s="71">
        <v>-9.5010000000000008E-3</v>
      </c>
      <c r="E59" s="70">
        <v>9.0276999999999996E-2</v>
      </c>
      <c r="F59" s="70">
        <v>2.0839999999999999E-3</v>
      </c>
      <c r="G59" s="70">
        <v>2.4580999999999999E-2</v>
      </c>
      <c r="H59" s="70">
        <v>9.0597999999999998E-2</v>
      </c>
      <c r="I59" s="70">
        <v>3.9732000000000003E-2</v>
      </c>
      <c r="J59" s="70">
        <v>2.7243E-2</v>
      </c>
      <c r="K59" s="70">
        <v>5.0559999999999997E-3</v>
      </c>
    </row>
    <row r="60" spans="1:11" x14ac:dyDescent="0.2">
      <c r="A60" s="68" t="s">
        <v>1319</v>
      </c>
      <c r="B60" s="72">
        <v>9.2350000000000002E-3</v>
      </c>
      <c r="C60" s="72">
        <v>0.131303</v>
      </c>
      <c r="D60" s="72">
        <v>1.0791E-2</v>
      </c>
      <c r="E60" s="72">
        <v>5.0816E-2</v>
      </c>
      <c r="F60" s="73">
        <v>-9.1509999999999994E-3</v>
      </c>
      <c r="G60" s="72">
        <v>3.8168000000000001E-2</v>
      </c>
      <c r="H60" s="72">
        <v>7.1553000000000005E-2</v>
      </c>
      <c r="I60" s="72">
        <v>3.7006999999999998E-2</v>
      </c>
      <c r="J60" s="72">
        <v>3.176E-3</v>
      </c>
      <c r="K60" s="72">
        <v>1.0619999999999999E-2</v>
      </c>
    </row>
    <row r="61" spans="1:11" x14ac:dyDescent="0.2">
      <c r="A61" s="66" t="s">
        <v>1320</v>
      </c>
      <c r="B61" s="71">
        <v>-2.4750999999999999E-2</v>
      </c>
      <c r="C61" s="71">
        <v>-0.20922299999999999</v>
      </c>
      <c r="D61" s="71">
        <v>-2.4437E-2</v>
      </c>
      <c r="E61" s="71">
        <v>-0.122073</v>
      </c>
      <c r="F61" s="71">
        <v>-4.9958000000000002E-2</v>
      </c>
      <c r="G61" s="71">
        <v>-7.3003999999999999E-2</v>
      </c>
      <c r="H61" s="71">
        <v>-0.12670999999999999</v>
      </c>
      <c r="I61" s="71">
        <v>-4.9069000000000002E-2</v>
      </c>
      <c r="J61" s="71">
        <v>-9.4664999999999999E-2</v>
      </c>
      <c r="K61" s="71">
        <v>-2.4889000000000001E-2</v>
      </c>
    </row>
    <row r="62" spans="1:11" x14ac:dyDescent="0.2">
      <c r="A62" s="68" t="s">
        <v>1321</v>
      </c>
      <c r="B62" s="72">
        <v>2.3061000000000002E-2</v>
      </c>
      <c r="C62" s="72">
        <v>0.14033499999999999</v>
      </c>
      <c r="D62" s="72">
        <v>3.6499999999999998E-4</v>
      </c>
      <c r="E62" s="72">
        <v>0.120083</v>
      </c>
      <c r="F62" s="72">
        <v>9.7657999999999995E-2</v>
      </c>
      <c r="G62" s="72">
        <v>6.2890000000000001E-2</v>
      </c>
      <c r="H62" s="72">
        <v>0.182395</v>
      </c>
      <c r="I62" s="72">
        <v>7.6280000000000001E-2</v>
      </c>
      <c r="J62" s="72">
        <v>6.6269999999999996E-2</v>
      </c>
      <c r="K62" s="72">
        <v>1.9285E-2</v>
      </c>
    </row>
  </sheetData>
  <mergeCells count="1">
    <mergeCell ref="A1:K1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B9758-41A3-405D-9B7A-97CC61334CBD}">
  <sheetPr codeName="Sheet14"/>
  <dimension ref="A1:K40"/>
  <sheetViews>
    <sheetView workbookViewId="0">
      <selection sqref="A1:F1"/>
    </sheetView>
  </sheetViews>
  <sheetFormatPr baseColWidth="10" defaultColWidth="8.6640625" defaultRowHeight="15" x14ac:dyDescent="0.2"/>
  <cols>
    <col min="1" max="1" width="28" style="51" customWidth="1"/>
    <col min="2" max="11" width="14" style="51" customWidth="1"/>
    <col min="12" max="16384" width="8.6640625" style="51"/>
  </cols>
  <sheetData>
    <row r="1" spans="1:11" ht="24.75" customHeight="1" x14ac:dyDescent="0.2">
      <c r="A1" s="152" t="s">
        <v>1323</v>
      </c>
      <c r="B1" s="134"/>
      <c r="C1" s="134"/>
      <c r="D1" s="134"/>
      <c r="E1" s="134"/>
      <c r="F1" s="134"/>
    </row>
    <row r="2" spans="1:11" ht="28" customHeight="1" x14ac:dyDescent="0.2">
      <c r="A2" s="54" t="s">
        <v>1109</v>
      </c>
      <c r="B2" s="54" t="s">
        <v>1324</v>
      </c>
      <c r="C2" s="54" t="s">
        <v>1325</v>
      </c>
      <c r="D2" s="54" t="s">
        <v>1326</v>
      </c>
      <c r="E2" s="54" t="s">
        <v>1327</v>
      </c>
      <c r="F2" s="54" t="s">
        <v>1328</v>
      </c>
    </row>
    <row r="3" spans="1:11" x14ac:dyDescent="0.2">
      <c r="A3" s="74" t="s">
        <v>1112</v>
      </c>
      <c r="B3" s="75">
        <v>2.3300000000000001E-2</v>
      </c>
      <c r="C3" s="75">
        <v>4.8099999999999997E-2</v>
      </c>
      <c r="D3" s="76">
        <v>-0.24229999999999999</v>
      </c>
      <c r="E3" s="75">
        <v>-2.8400000000000002E-2</v>
      </c>
      <c r="F3" s="75">
        <v>2.92E-2</v>
      </c>
    </row>
    <row r="4" spans="1:11" x14ac:dyDescent="0.2">
      <c r="A4" s="77" t="s">
        <v>1113</v>
      </c>
      <c r="B4" s="78">
        <v>0.26540000000000002</v>
      </c>
      <c r="C4" s="78">
        <v>0.33329999999999999</v>
      </c>
      <c r="D4" s="79">
        <v>0.69140000000000001</v>
      </c>
      <c r="E4" s="78">
        <v>-0.2092</v>
      </c>
      <c r="F4" s="78">
        <v>0.22289999999999999</v>
      </c>
    </row>
    <row r="5" spans="1:11" x14ac:dyDescent="0.2">
      <c r="A5" s="74" t="s">
        <v>1114</v>
      </c>
      <c r="B5" s="75">
        <v>-6.3799999999999996E-2</v>
      </c>
      <c r="C5" s="75">
        <v>7.7200000000000005E-2</v>
      </c>
      <c r="D5" s="76">
        <v>-1.28</v>
      </c>
      <c r="E5" s="75">
        <v>-6.7799999999999999E-2</v>
      </c>
      <c r="F5" s="75">
        <v>0.05</v>
      </c>
    </row>
    <row r="6" spans="1:11" x14ac:dyDescent="0.2">
      <c r="A6" s="77" t="s">
        <v>1115</v>
      </c>
      <c r="B6" s="78">
        <v>6.8500000000000005E-2</v>
      </c>
      <c r="C6" s="78">
        <v>0.18479999999999999</v>
      </c>
      <c r="D6" s="79">
        <v>0.18149999999999999</v>
      </c>
      <c r="E6" s="78">
        <v>-0.1221</v>
      </c>
      <c r="F6" s="78">
        <v>0.18970000000000001</v>
      </c>
    </row>
    <row r="7" spans="1:11" x14ac:dyDescent="0.2">
      <c r="A7" s="74" t="s">
        <v>1116</v>
      </c>
      <c r="B7" s="75">
        <v>7.4999999999999997E-2</v>
      </c>
      <c r="C7" s="75">
        <v>0.13109999999999999</v>
      </c>
      <c r="D7" s="76">
        <v>0.3054</v>
      </c>
      <c r="E7" s="75">
        <v>-8.3000000000000004E-2</v>
      </c>
      <c r="F7" s="75">
        <v>9.7699999999999995E-2</v>
      </c>
    </row>
    <row r="8" spans="1:11" x14ac:dyDescent="0.2">
      <c r="A8" s="77" t="s">
        <v>1117</v>
      </c>
      <c r="B8" s="78">
        <v>7.6700000000000004E-2</v>
      </c>
      <c r="C8" s="78">
        <v>0.13880000000000001</v>
      </c>
      <c r="D8" s="79">
        <v>0.30020000000000002</v>
      </c>
      <c r="E8" s="78">
        <v>-8.2500000000000004E-2</v>
      </c>
      <c r="F8" s="78">
        <v>8.0399999999999999E-2</v>
      </c>
    </row>
    <row r="9" spans="1:11" x14ac:dyDescent="0.2">
      <c r="A9" s="74" t="s">
        <v>1118</v>
      </c>
      <c r="B9" s="75">
        <v>4.9599999999999998E-2</v>
      </c>
      <c r="C9" s="75">
        <v>0.19689999999999999</v>
      </c>
      <c r="D9" s="76">
        <v>7.4200000000000002E-2</v>
      </c>
      <c r="E9" s="75">
        <v>-0.12670000000000001</v>
      </c>
      <c r="F9" s="75">
        <v>0.18240000000000001</v>
      </c>
    </row>
    <row r="10" spans="1:11" x14ac:dyDescent="0.2">
      <c r="A10" s="77" t="s">
        <v>1119</v>
      </c>
      <c r="B10" s="78">
        <v>0.15240000000000001</v>
      </c>
      <c r="C10" s="78">
        <v>0.16289999999999999</v>
      </c>
      <c r="D10" s="79">
        <v>0.72070000000000001</v>
      </c>
      <c r="E10" s="78">
        <v>-7.3800000000000004E-2</v>
      </c>
      <c r="F10" s="78">
        <v>0.10639999999999999</v>
      </c>
    </row>
    <row r="11" spans="1:11" x14ac:dyDescent="0.2">
      <c r="A11" s="74" t="s">
        <v>1120</v>
      </c>
      <c r="B11" s="75">
        <v>-8.6800000000000002E-2</v>
      </c>
      <c r="C11" s="75">
        <v>0.17050000000000001</v>
      </c>
      <c r="D11" s="76">
        <v>-0.71419999999999995</v>
      </c>
      <c r="E11" s="75">
        <v>-0.1172</v>
      </c>
      <c r="F11" s="75">
        <v>0.12429999999999999</v>
      </c>
    </row>
    <row r="12" spans="1:11" x14ac:dyDescent="0.2">
      <c r="A12" s="77" t="s">
        <v>1121</v>
      </c>
      <c r="B12" s="78">
        <v>2.98E-2</v>
      </c>
      <c r="C12" s="78">
        <v>5.7299999999999997E-2</v>
      </c>
      <c r="D12" s="79">
        <v>-9.0499999999999997E-2</v>
      </c>
      <c r="E12" s="78">
        <v>-3.8199999999999998E-2</v>
      </c>
      <c r="F12" s="78">
        <v>3.9199999999999999E-2</v>
      </c>
    </row>
    <row r="15" spans="1:11" ht="21.75" customHeight="1" x14ac:dyDescent="0.2">
      <c r="A15" s="151" t="s">
        <v>1329</v>
      </c>
      <c r="B15" s="134"/>
      <c r="C15" s="134"/>
      <c r="D15" s="134"/>
      <c r="E15" s="134"/>
      <c r="F15" s="134"/>
      <c r="G15" s="134"/>
      <c r="H15" s="134"/>
      <c r="I15" s="134"/>
      <c r="J15" s="134"/>
      <c r="K15" s="134"/>
    </row>
    <row r="16" spans="1:11" x14ac:dyDescent="0.2">
      <c r="A16" s="54" t="s">
        <v>1109</v>
      </c>
      <c r="B16" s="80" t="s">
        <v>1112</v>
      </c>
      <c r="C16" s="80" t="s">
        <v>1113</v>
      </c>
      <c r="D16" s="80" t="s">
        <v>1114</v>
      </c>
      <c r="E16" s="80" t="s">
        <v>1115</v>
      </c>
      <c r="F16" s="80" t="s">
        <v>1116</v>
      </c>
      <c r="G16" s="80" t="s">
        <v>1117</v>
      </c>
      <c r="H16" s="80" t="s">
        <v>1118</v>
      </c>
      <c r="I16" s="80" t="s">
        <v>1119</v>
      </c>
      <c r="J16" s="80" t="s">
        <v>1120</v>
      </c>
      <c r="K16" s="80" t="s">
        <v>1121</v>
      </c>
    </row>
    <row r="17" spans="1:11" x14ac:dyDescent="0.2">
      <c r="A17" s="81" t="s">
        <v>1112</v>
      </c>
      <c r="B17" s="82">
        <v>2.3159999999999999E-3</v>
      </c>
      <c r="C17" s="83">
        <v>7.1459999999999996E-3</v>
      </c>
      <c r="D17" s="83">
        <v>2.1540000000000001E-3</v>
      </c>
      <c r="E17" s="83">
        <v>4.6379999999999998E-3</v>
      </c>
      <c r="F17" s="83">
        <v>2.3640000000000002E-3</v>
      </c>
      <c r="G17" s="83">
        <v>2.1380000000000001E-3</v>
      </c>
      <c r="H17" s="83">
        <v>5.2830000000000004E-3</v>
      </c>
      <c r="I17" s="83">
        <v>4.2139999999999999E-3</v>
      </c>
      <c r="J17" s="83">
        <v>5.2919999999999998E-3</v>
      </c>
      <c r="K17" s="83">
        <v>1.9629999999999999E-3</v>
      </c>
    </row>
    <row r="18" spans="1:11" x14ac:dyDescent="0.2">
      <c r="A18" s="81" t="s">
        <v>1113</v>
      </c>
      <c r="B18" s="84">
        <v>7.1459999999999996E-3</v>
      </c>
      <c r="C18" s="82">
        <v>0.111097</v>
      </c>
      <c r="D18" s="84">
        <v>8.2159999999999993E-3</v>
      </c>
      <c r="E18" s="84">
        <v>3.2099999999999997E-2</v>
      </c>
      <c r="F18" s="84">
        <v>1.2258E-2</v>
      </c>
      <c r="G18" s="84">
        <v>2.0331999999999999E-2</v>
      </c>
      <c r="H18" s="84">
        <v>3.7053000000000003E-2</v>
      </c>
      <c r="I18" s="84">
        <v>3.0616999999999998E-2</v>
      </c>
      <c r="J18" s="84">
        <v>3.0099999999999998E-2</v>
      </c>
      <c r="K18" s="84">
        <v>8.0319999999999992E-3</v>
      </c>
    </row>
    <row r="19" spans="1:11" x14ac:dyDescent="0.2">
      <c r="A19" s="81" t="s">
        <v>1114</v>
      </c>
      <c r="B19" s="83">
        <v>2.1540000000000001E-3</v>
      </c>
      <c r="C19" s="83">
        <v>8.2159999999999993E-3</v>
      </c>
      <c r="D19" s="82">
        <v>5.9569999999999996E-3</v>
      </c>
      <c r="E19" s="83">
        <v>9.0039999999999999E-3</v>
      </c>
      <c r="F19" s="83">
        <v>3.4199999999999999E-3</v>
      </c>
      <c r="G19" s="83">
        <v>2.761E-3</v>
      </c>
      <c r="H19" s="83">
        <v>9.5569999999999995E-3</v>
      </c>
      <c r="I19" s="83">
        <v>5.6259999999999999E-3</v>
      </c>
      <c r="J19" s="83">
        <v>8.4110000000000001E-3</v>
      </c>
      <c r="K19" s="83">
        <v>2.9350000000000001E-3</v>
      </c>
    </row>
    <row r="20" spans="1:11" x14ac:dyDescent="0.2">
      <c r="A20" s="81" t="s">
        <v>1115</v>
      </c>
      <c r="B20" s="84">
        <v>4.6379999999999998E-3</v>
      </c>
      <c r="C20" s="84">
        <v>3.2099999999999997E-2</v>
      </c>
      <c r="D20" s="84">
        <v>9.0039999999999999E-3</v>
      </c>
      <c r="E20" s="82">
        <v>3.4146999999999997E-2</v>
      </c>
      <c r="F20" s="84">
        <v>1.0808999999999999E-2</v>
      </c>
      <c r="G20" s="84">
        <v>1.2008E-2</v>
      </c>
      <c r="H20" s="84">
        <v>3.2895000000000001E-2</v>
      </c>
      <c r="I20" s="84">
        <v>2.1194999999999999E-2</v>
      </c>
      <c r="J20" s="84">
        <v>2.3703999999999999E-2</v>
      </c>
      <c r="K20" s="84">
        <v>6.7089999999999997E-3</v>
      </c>
    </row>
    <row r="21" spans="1:11" x14ac:dyDescent="0.2">
      <c r="A21" s="81" t="s">
        <v>1116</v>
      </c>
      <c r="B21" s="83">
        <v>2.3640000000000002E-3</v>
      </c>
      <c r="C21" s="83">
        <v>1.2258E-2</v>
      </c>
      <c r="D21" s="83">
        <v>3.4199999999999999E-3</v>
      </c>
      <c r="E21" s="83">
        <v>1.0808999999999999E-2</v>
      </c>
      <c r="F21" s="82">
        <v>1.7191000000000001E-2</v>
      </c>
      <c r="G21" s="83">
        <v>1.4643E-2</v>
      </c>
      <c r="H21" s="83">
        <v>1.6192000000000002E-2</v>
      </c>
      <c r="I21" s="83">
        <v>1.1106E-2</v>
      </c>
      <c r="J21" s="83">
        <v>9.443E-3</v>
      </c>
      <c r="K21" s="83">
        <v>4.9540000000000001E-3</v>
      </c>
    </row>
    <row r="22" spans="1:11" x14ac:dyDescent="0.2">
      <c r="A22" s="81" t="s">
        <v>1117</v>
      </c>
      <c r="B22" s="84">
        <v>2.1380000000000001E-3</v>
      </c>
      <c r="C22" s="84">
        <v>2.0331999999999999E-2</v>
      </c>
      <c r="D22" s="84">
        <v>2.761E-3</v>
      </c>
      <c r="E22" s="84">
        <v>1.2008E-2</v>
      </c>
      <c r="F22" s="84">
        <v>1.4643E-2</v>
      </c>
      <c r="G22" s="82">
        <v>1.9262000000000001E-2</v>
      </c>
      <c r="H22" s="84">
        <v>1.5764E-2</v>
      </c>
      <c r="I22" s="84">
        <v>1.3750999999999999E-2</v>
      </c>
      <c r="J22" s="84">
        <v>1.1577E-2</v>
      </c>
      <c r="K22" s="84">
        <v>5.0889999999999998E-3</v>
      </c>
    </row>
    <row r="23" spans="1:11" x14ac:dyDescent="0.2">
      <c r="A23" s="81" t="s">
        <v>1118</v>
      </c>
      <c r="B23" s="83">
        <v>5.2830000000000004E-3</v>
      </c>
      <c r="C23" s="83">
        <v>3.7053000000000003E-2</v>
      </c>
      <c r="D23" s="83">
        <v>9.5569999999999995E-3</v>
      </c>
      <c r="E23" s="83">
        <v>3.2895000000000001E-2</v>
      </c>
      <c r="F23" s="83">
        <v>1.6192000000000002E-2</v>
      </c>
      <c r="G23" s="83">
        <v>1.5764E-2</v>
      </c>
      <c r="H23" s="82">
        <v>3.8771E-2</v>
      </c>
      <c r="I23" s="83">
        <v>2.2512000000000001E-2</v>
      </c>
      <c r="J23" s="83">
        <v>2.3903000000000001E-2</v>
      </c>
      <c r="K23" s="83">
        <v>8.1849999999999996E-3</v>
      </c>
    </row>
    <row r="24" spans="1:11" x14ac:dyDescent="0.2">
      <c r="A24" s="81" t="s">
        <v>1119</v>
      </c>
      <c r="B24" s="84">
        <v>4.2139999999999999E-3</v>
      </c>
      <c r="C24" s="84">
        <v>3.0616999999999998E-2</v>
      </c>
      <c r="D24" s="84">
        <v>5.6259999999999999E-3</v>
      </c>
      <c r="E24" s="84">
        <v>2.1194999999999999E-2</v>
      </c>
      <c r="F24" s="84">
        <v>1.1106E-2</v>
      </c>
      <c r="G24" s="84">
        <v>1.3750999999999999E-2</v>
      </c>
      <c r="H24" s="84">
        <v>2.2512000000000001E-2</v>
      </c>
      <c r="I24" s="82">
        <v>2.6535E-2</v>
      </c>
      <c r="J24" s="84">
        <v>1.9820000000000001E-2</v>
      </c>
      <c r="K24" s="84">
        <v>6.5199999999999998E-3</v>
      </c>
    </row>
    <row r="25" spans="1:11" x14ac:dyDescent="0.2">
      <c r="A25" s="81" t="s">
        <v>1120</v>
      </c>
      <c r="B25" s="83">
        <v>5.2919999999999998E-3</v>
      </c>
      <c r="C25" s="83">
        <v>3.0099999999999998E-2</v>
      </c>
      <c r="D25" s="83">
        <v>8.4110000000000001E-3</v>
      </c>
      <c r="E25" s="83">
        <v>2.3703999999999999E-2</v>
      </c>
      <c r="F25" s="83">
        <v>9.443E-3</v>
      </c>
      <c r="G25" s="83">
        <v>1.1577E-2</v>
      </c>
      <c r="H25" s="83">
        <v>2.3903000000000001E-2</v>
      </c>
      <c r="I25" s="83">
        <v>1.9820000000000001E-2</v>
      </c>
      <c r="J25" s="82">
        <v>2.9069000000000001E-2</v>
      </c>
      <c r="K25" s="83">
        <v>7.1040000000000001E-3</v>
      </c>
    </row>
    <row r="26" spans="1:11" x14ac:dyDescent="0.2">
      <c r="A26" s="81" t="s">
        <v>1121</v>
      </c>
      <c r="B26" s="84">
        <v>1.9629999999999999E-3</v>
      </c>
      <c r="C26" s="84">
        <v>8.0319999999999992E-3</v>
      </c>
      <c r="D26" s="84">
        <v>2.9350000000000001E-3</v>
      </c>
      <c r="E26" s="84">
        <v>6.7089999999999997E-3</v>
      </c>
      <c r="F26" s="84">
        <v>4.9540000000000001E-3</v>
      </c>
      <c r="G26" s="84">
        <v>5.0889999999999998E-3</v>
      </c>
      <c r="H26" s="84">
        <v>8.1849999999999996E-3</v>
      </c>
      <c r="I26" s="84">
        <v>6.5199999999999998E-3</v>
      </c>
      <c r="J26" s="84">
        <v>7.1040000000000001E-3</v>
      </c>
      <c r="K26" s="82">
        <v>3.2880000000000001E-3</v>
      </c>
    </row>
    <row r="29" spans="1:11" ht="21.75" customHeight="1" x14ac:dyDescent="0.2">
      <c r="A29" s="151" t="s">
        <v>1330</v>
      </c>
      <c r="B29" s="134"/>
      <c r="C29" s="134"/>
      <c r="D29" s="134"/>
      <c r="E29" s="134"/>
      <c r="F29" s="134"/>
      <c r="G29" s="134"/>
      <c r="H29" s="134"/>
      <c r="I29" s="134"/>
      <c r="J29" s="134"/>
      <c r="K29" s="134"/>
    </row>
    <row r="30" spans="1:11" x14ac:dyDescent="0.2">
      <c r="A30" s="54" t="s">
        <v>1109</v>
      </c>
      <c r="B30" s="80" t="s">
        <v>1112</v>
      </c>
      <c r="C30" s="80" t="s">
        <v>1113</v>
      </c>
      <c r="D30" s="80" t="s">
        <v>1114</v>
      </c>
      <c r="E30" s="80" t="s">
        <v>1115</v>
      </c>
      <c r="F30" s="80" t="s">
        <v>1116</v>
      </c>
      <c r="G30" s="80" t="s">
        <v>1117</v>
      </c>
      <c r="H30" s="80" t="s">
        <v>1118</v>
      </c>
      <c r="I30" s="80" t="s">
        <v>1119</v>
      </c>
      <c r="J30" s="80" t="s">
        <v>1120</v>
      </c>
      <c r="K30" s="80" t="s">
        <v>1121</v>
      </c>
    </row>
    <row r="31" spans="1:11" x14ac:dyDescent="0.2">
      <c r="A31" s="81" t="s">
        <v>1112</v>
      </c>
      <c r="B31" s="85">
        <v>1</v>
      </c>
      <c r="C31" s="86">
        <v>0.44550000000000001</v>
      </c>
      <c r="D31" s="86">
        <v>0.57999999999999996</v>
      </c>
      <c r="E31" s="86">
        <v>0.52159999999999995</v>
      </c>
      <c r="F31" s="86">
        <v>0.37469999999999998</v>
      </c>
      <c r="G31" s="86">
        <v>0.3201</v>
      </c>
      <c r="H31" s="86">
        <v>0.5575</v>
      </c>
      <c r="I31" s="86">
        <v>0.53749999999999998</v>
      </c>
      <c r="J31" s="86">
        <v>0.64500000000000002</v>
      </c>
      <c r="K31" s="87">
        <v>0.71140000000000003</v>
      </c>
    </row>
    <row r="32" spans="1:11" x14ac:dyDescent="0.2">
      <c r="A32" s="81" t="s">
        <v>1113</v>
      </c>
      <c r="B32" s="86">
        <v>0.44550000000000001</v>
      </c>
      <c r="C32" s="85">
        <v>1</v>
      </c>
      <c r="D32" s="86">
        <v>0.31929999999999997</v>
      </c>
      <c r="E32" s="86">
        <v>0.5212</v>
      </c>
      <c r="F32" s="86">
        <v>0.28050000000000003</v>
      </c>
      <c r="G32" s="86">
        <v>0.4395</v>
      </c>
      <c r="H32" s="86">
        <v>0.56459999999999999</v>
      </c>
      <c r="I32" s="86">
        <v>0.56389999999999996</v>
      </c>
      <c r="J32" s="86">
        <v>0.52969999999999995</v>
      </c>
      <c r="K32" s="86">
        <v>0.42030000000000001</v>
      </c>
    </row>
    <row r="33" spans="1:11" x14ac:dyDescent="0.2">
      <c r="A33" s="81" t="s">
        <v>1114</v>
      </c>
      <c r="B33" s="86">
        <v>0.57999999999999996</v>
      </c>
      <c r="C33" s="86">
        <v>0.31929999999999997</v>
      </c>
      <c r="D33" s="85">
        <v>1</v>
      </c>
      <c r="E33" s="86">
        <v>0.63129999999999997</v>
      </c>
      <c r="F33" s="86">
        <v>0.33800000000000002</v>
      </c>
      <c r="G33" s="86">
        <v>0.25779999999999997</v>
      </c>
      <c r="H33" s="86">
        <v>0.62880000000000003</v>
      </c>
      <c r="I33" s="86">
        <v>0.44750000000000001</v>
      </c>
      <c r="J33" s="86">
        <v>0.6391</v>
      </c>
      <c r="K33" s="86">
        <v>0.66320000000000001</v>
      </c>
    </row>
    <row r="34" spans="1:11" x14ac:dyDescent="0.2">
      <c r="A34" s="81" t="s">
        <v>1115</v>
      </c>
      <c r="B34" s="86">
        <v>0.52159999999999995</v>
      </c>
      <c r="C34" s="86">
        <v>0.5212</v>
      </c>
      <c r="D34" s="86">
        <v>0.63129999999999997</v>
      </c>
      <c r="E34" s="85">
        <v>1</v>
      </c>
      <c r="F34" s="86">
        <v>0.4461</v>
      </c>
      <c r="G34" s="86">
        <v>0.46820000000000001</v>
      </c>
      <c r="H34" s="87">
        <v>0.90410000000000001</v>
      </c>
      <c r="I34" s="87">
        <v>0.70409999999999995</v>
      </c>
      <c r="J34" s="87">
        <v>0.75239999999999996</v>
      </c>
      <c r="K34" s="86">
        <v>0.63319999999999999</v>
      </c>
    </row>
    <row r="35" spans="1:11" x14ac:dyDescent="0.2">
      <c r="A35" s="81" t="s">
        <v>1116</v>
      </c>
      <c r="B35" s="86">
        <v>0.37469999999999998</v>
      </c>
      <c r="C35" s="86">
        <v>0.28050000000000003</v>
      </c>
      <c r="D35" s="86">
        <v>0.33800000000000002</v>
      </c>
      <c r="E35" s="86">
        <v>0.4461</v>
      </c>
      <c r="F35" s="85">
        <v>1</v>
      </c>
      <c r="G35" s="87">
        <v>0.80469999999999997</v>
      </c>
      <c r="H35" s="86">
        <v>0.62719999999999998</v>
      </c>
      <c r="I35" s="86">
        <v>0.52</v>
      </c>
      <c r="J35" s="86">
        <v>0.4224</v>
      </c>
      <c r="K35" s="86">
        <v>0.65890000000000004</v>
      </c>
    </row>
    <row r="36" spans="1:11" x14ac:dyDescent="0.2">
      <c r="A36" s="81" t="s">
        <v>1117</v>
      </c>
      <c r="B36" s="86">
        <v>0.3201</v>
      </c>
      <c r="C36" s="86">
        <v>0.4395</v>
      </c>
      <c r="D36" s="86">
        <v>0.25779999999999997</v>
      </c>
      <c r="E36" s="86">
        <v>0.46820000000000001</v>
      </c>
      <c r="F36" s="87">
        <v>0.80469999999999997</v>
      </c>
      <c r="G36" s="85">
        <v>1</v>
      </c>
      <c r="H36" s="86">
        <v>0.57689999999999997</v>
      </c>
      <c r="I36" s="86">
        <v>0.60829999999999995</v>
      </c>
      <c r="J36" s="86">
        <v>0.48930000000000001</v>
      </c>
      <c r="K36" s="86">
        <v>0.63959999999999995</v>
      </c>
    </row>
    <row r="37" spans="1:11" x14ac:dyDescent="0.2">
      <c r="A37" s="81" t="s">
        <v>1118</v>
      </c>
      <c r="B37" s="86">
        <v>0.5575</v>
      </c>
      <c r="C37" s="86">
        <v>0.56459999999999999</v>
      </c>
      <c r="D37" s="86">
        <v>0.62880000000000003</v>
      </c>
      <c r="E37" s="87">
        <v>0.90410000000000001</v>
      </c>
      <c r="F37" s="86">
        <v>0.62719999999999998</v>
      </c>
      <c r="G37" s="86">
        <v>0.57689999999999997</v>
      </c>
      <c r="H37" s="85">
        <v>1</v>
      </c>
      <c r="I37" s="87">
        <v>0.70189999999999997</v>
      </c>
      <c r="J37" s="87">
        <v>0.71199999999999997</v>
      </c>
      <c r="K37" s="87">
        <v>0.72499999999999998</v>
      </c>
    </row>
    <row r="38" spans="1:11" x14ac:dyDescent="0.2">
      <c r="A38" s="81" t="s">
        <v>1119</v>
      </c>
      <c r="B38" s="86">
        <v>0.53749999999999998</v>
      </c>
      <c r="C38" s="86">
        <v>0.56389999999999996</v>
      </c>
      <c r="D38" s="86">
        <v>0.44750000000000001</v>
      </c>
      <c r="E38" s="87">
        <v>0.70409999999999995</v>
      </c>
      <c r="F38" s="86">
        <v>0.52</v>
      </c>
      <c r="G38" s="86">
        <v>0.60829999999999995</v>
      </c>
      <c r="H38" s="87">
        <v>0.70189999999999997</v>
      </c>
      <c r="I38" s="85">
        <v>1</v>
      </c>
      <c r="J38" s="87">
        <v>0.71360000000000001</v>
      </c>
      <c r="K38" s="86">
        <v>0.69810000000000005</v>
      </c>
    </row>
    <row r="39" spans="1:11" x14ac:dyDescent="0.2">
      <c r="A39" s="81" t="s">
        <v>1120</v>
      </c>
      <c r="B39" s="86">
        <v>0.64500000000000002</v>
      </c>
      <c r="C39" s="86">
        <v>0.52969999999999995</v>
      </c>
      <c r="D39" s="86">
        <v>0.6391</v>
      </c>
      <c r="E39" s="87">
        <v>0.75239999999999996</v>
      </c>
      <c r="F39" s="86">
        <v>0.4224</v>
      </c>
      <c r="G39" s="86">
        <v>0.48930000000000001</v>
      </c>
      <c r="H39" s="87">
        <v>0.71199999999999997</v>
      </c>
      <c r="I39" s="87">
        <v>0.71360000000000001</v>
      </c>
      <c r="J39" s="85">
        <v>1</v>
      </c>
      <c r="K39" s="87">
        <v>0.72670000000000001</v>
      </c>
    </row>
    <row r="40" spans="1:11" x14ac:dyDescent="0.2">
      <c r="A40" s="81" t="s">
        <v>1121</v>
      </c>
      <c r="B40" s="87">
        <v>0.71140000000000003</v>
      </c>
      <c r="C40" s="86">
        <v>0.42030000000000001</v>
      </c>
      <c r="D40" s="86">
        <v>0.66320000000000001</v>
      </c>
      <c r="E40" s="86">
        <v>0.63319999999999999</v>
      </c>
      <c r="F40" s="86">
        <v>0.65890000000000004</v>
      </c>
      <c r="G40" s="86">
        <v>0.63959999999999995</v>
      </c>
      <c r="H40" s="87">
        <v>0.72499999999999998</v>
      </c>
      <c r="I40" s="86">
        <v>0.69810000000000005</v>
      </c>
      <c r="J40" s="87">
        <v>0.72670000000000001</v>
      </c>
      <c r="K40" s="85">
        <v>1</v>
      </c>
    </row>
  </sheetData>
  <mergeCells count="3">
    <mergeCell ref="A1:F1"/>
    <mergeCell ref="A15:K15"/>
    <mergeCell ref="A29:K29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C9A1-6C72-4472-B286-C232FD2903BD}">
  <sheetPr codeName="Sheet15"/>
  <dimension ref="A1:H103"/>
  <sheetViews>
    <sheetView workbookViewId="0">
      <selection sqref="A1:E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20" style="51" customWidth="1"/>
    <col min="6" max="6" width="8.6640625" style="51"/>
    <col min="7" max="7" width="22" style="51" customWidth="1"/>
    <col min="8" max="8" width="16" style="51" customWidth="1"/>
    <col min="9" max="16384" width="8.6640625" style="51"/>
  </cols>
  <sheetData>
    <row r="1" spans="1:8" ht="24.75" customHeight="1" x14ac:dyDescent="0.2">
      <c r="A1" s="152" t="s">
        <v>1331</v>
      </c>
      <c r="B1" s="134"/>
      <c r="C1" s="134"/>
      <c r="D1" s="134"/>
      <c r="E1" s="134"/>
    </row>
    <row r="2" spans="1:8" ht="19.5" customHeight="1" x14ac:dyDescent="0.2">
      <c r="A2" s="154" t="s">
        <v>1332</v>
      </c>
      <c r="B2" s="134"/>
      <c r="C2" s="134"/>
      <c r="D2" s="134"/>
      <c r="E2" s="134"/>
    </row>
    <row r="3" spans="1:8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</row>
    <row r="4" spans="1:8" x14ac:dyDescent="0.2">
      <c r="A4" s="88">
        <v>1</v>
      </c>
      <c r="B4" s="89">
        <v>3.2759999999999997E-2</v>
      </c>
      <c r="C4" s="89">
        <v>3.6054999999999997E-2</v>
      </c>
      <c r="D4" s="90">
        <v>-6.2100000000000002E-2</v>
      </c>
      <c r="E4" s="91" t="s">
        <v>1338</v>
      </c>
      <c r="G4" s="92" t="s">
        <v>1112</v>
      </c>
      <c r="H4" s="70">
        <v>0.62529999999999997</v>
      </c>
    </row>
    <row r="5" spans="1:8" x14ac:dyDescent="0.2">
      <c r="A5" s="93">
        <v>2</v>
      </c>
      <c r="B5" s="94">
        <v>3.5645999999999997E-2</v>
      </c>
      <c r="C5" s="94">
        <v>3.6072E-2</v>
      </c>
      <c r="D5" s="95">
        <v>1.7899999999999999E-2</v>
      </c>
      <c r="E5" s="96" t="s">
        <v>1339</v>
      </c>
      <c r="G5" s="97" t="s">
        <v>1113</v>
      </c>
      <c r="H5" s="73">
        <v>-2.8999999999999998E-3</v>
      </c>
    </row>
    <row r="6" spans="1:8" x14ac:dyDescent="0.2">
      <c r="A6" s="98">
        <v>3</v>
      </c>
      <c r="B6" s="99">
        <v>3.8532999999999998E-2</v>
      </c>
      <c r="C6" s="99">
        <v>3.6122000000000001E-2</v>
      </c>
      <c r="D6" s="100">
        <v>9.7799999999999998E-2</v>
      </c>
      <c r="E6" s="101" t="s">
        <v>1339</v>
      </c>
      <c r="G6" s="92" t="s">
        <v>1114</v>
      </c>
      <c r="H6" s="70">
        <v>0.1008</v>
      </c>
    </row>
    <row r="7" spans="1:8" x14ac:dyDescent="0.2">
      <c r="A7" s="93">
        <v>4</v>
      </c>
      <c r="B7" s="94">
        <v>4.1418999999999997E-2</v>
      </c>
      <c r="C7" s="94">
        <v>3.6207000000000003E-2</v>
      </c>
      <c r="D7" s="95">
        <v>0.17730000000000001</v>
      </c>
      <c r="E7" s="96" t="s">
        <v>1339</v>
      </c>
      <c r="G7" s="97" t="s">
        <v>1115</v>
      </c>
      <c r="H7" s="72">
        <v>0.1288</v>
      </c>
    </row>
    <row r="8" spans="1:8" x14ac:dyDescent="0.2">
      <c r="A8" s="98">
        <v>5</v>
      </c>
      <c r="B8" s="99">
        <v>4.4305999999999998E-2</v>
      </c>
      <c r="C8" s="99">
        <v>3.6324000000000002E-2</v>
      </c>
      <c r="D8" s="100">
        <v>0.25619999999999998</v>
      </c>
      <c r="E8" s="101" t="s">
        <v>1339</v>
      </c>
      <c r="G8" s="92" t="s">
        <v>1116</v>
      </c>
      <c r="H8" s="71">
        <v>-2.5100000000000001E-2</v>
      </c>
    </row>
    <row r="9" spans="1:8" x14ac:dyDescent="0.2">
      <c r="A9" s="93">
        <v>6</v>
      </c>
      <c r="B9" s="94">
        <v>4.7192999999999999E-2</v>
      </c>
      <c r="C9" s="94">
        <v>3.6475E-2</v>
      </c>
      <c r="D9" s="95">
        <v>0.33429999999999999</v>
      </c>
      <c r="E9" s="96" t="s">
        <v>1339</v>
      </c>
      <c r="G9" s="97" t="s">
        <v>1117</v>
      </c>
      <c r="H9" s="72">
        <v>7.2999999999999995E-2</v>
      </c>
    </row>
    <row r="10" spans="1:8" x14ac:dyDescent="0.2">
      <c r="A10" s="98">
        <v>7</v>
      </c>
      <c r="B10" s="99">
        <v>5.0078999999999999E-2</v>
      </c>
      <c r="C10" s="99">
        <v>3.6658000000000003E-2</v>
      </c>
      <c r="D10" s="100">
        <v>0.4113</v>
      </c>
      <c r="E10" s="101" t="s">
        <v>1339</v>
      </c>
      <c r="G10" s="92" t="s">
        <v>1118</v>
      </c>
      <c r="H10" s="71">
        <v>-0.1784</v>
      </c>
    </row>
    <row r="11" spans="1:8" x14ac:dyDescent="0.2">
      <c r="A11" s="93">
        <v>8</v>
      </c>
      <c r="B11" s="94">
        <v>5.2965999999999999E-2</v>
      </c>
      <c r="C11" s="94">
        <v>3.6873000000000003E-2</v>
      </c>
      <c r="D11" s="95">
        <v>0.48720000000000002</v>
      </c>
      <c r="E11" s="96" t="s">
        <v>1339</v>
      </c>
      <c r="G11" s="97" t="s">
        <v>1119</v>
      </c>
      <c r="H11" s="73">
        <v>-4.53E-2</v>
      </c>
    </row>
    <row r="12" spans="1:8" x14ac:dyDescent="0.2">
      <c r="A12" s="98">
        <v>9</v>
      </c>
      <c r="B12" s="99">
        <v>5.5851999999999999E-2</v>
      </c>
      <c r="C12" s="99">
        <v>3.712E-2</v>
      </c>
      <c r="D12" s="100">
        <v>0.56179999999999997</v>
      </c>
      <c r="E12" s="101" t="s">
        <v>1339</v>
      </c>
      <c r="G12" s="92" t="s">
        <v>1120</v>
      </c>
      <c r="H12" s="71">
        <v>-0.16239999999999999</v>
      </c>
    </row>
    <row r="13" spans="1:8" x14ac:dyDescent="0.2">
      <c r="A13" s="93">
        <v>10</v>
      </c>
      <c r="B13" s="94">
        <v>5.8739E-2</v>
      </c>
      <c r="C13" s="94">
        <v>3.7397E-2</v>
      </c>
      <c r="D13" s="95">
        <v>0.63480000000000003</v>
      </c>
      <c r="E13" s="96" t="s">
        <v>1339</v>
      </c>
      <c r="G13" s="97" t="s">
        <v>1121</v>
      </c>
      <c r="H13" s="72">
        <v>0.4864</v>
      </c>
    </row>
    <row r="14" spans="1:8" x14ac:dyDescent="0.2">
      <c r="A14" s="98">
        <v>11</v>
      </c>
      <c r="B14" s="99">
        <v>6.1626E-2</v>
      </c>
      <c r="C14" s="99">
        <v>3.7705000000000002E-2</v>
      </c>
      <c r="D14" s="100">
        <v>0.70609999999999995</v>
      </c>
      <c r="E14" s="101" t="s">
        <v>1339</v>
      </c>
    </row>
    <row r="15" spans="1:8" x14ac:dyDescent="0.2">
      <c r="A15" s="93">
        <v>12</v>
      </c>
      <c r="B15" s="94">
        <v>6.4512E-2</v>
      </c>
      <c r="C15" s="94">
        <v>3.8043E-2</v>
      </c>
      <c r="D15" s="95">
        <v>0.77580000000000005</v>
      </c>
      <c r="E15" s="96" t="s">
        <v>1339</v>
      </c>
    </row>
    <row r="16" spans="1:8" x14ac:dyDescent="0.2">
      <c r="A16" s="98">
        <v>13</v>
      </c>
      <c r="B16" s="99">
        <v>6.7399000000000001E-2</v>
      </c>
      <c r="C16" s="99">
        <v>3.8408999999999999E-2</v>
      </c>
      <c r="D16" s="100">
        <v>0.84350000000000003</v>
      </c>
      <c r="E16" s="101" t="s">
        <v>1339</v>
      </c>
    </row>
    <row r="17" spans="1:5" x14ac:dyDescent="0.2">
      <c r="A17" s="93">
        <v>14</v>
      </c>
      <c r="B17" s="94">
        <v>7.0285E-2</v>
      </c>
      <c r="C17" s="94">
        <v>3.8802999999999997E-2</v>
      </c>
      <c r="D17" s="95">
        <v>0.9093</v>
      </c>
      <c r="E17" s="96" t="s">
        <v>1339</v>
      </c>
    </row>
    <row r="18" spans="1:5" x14ac:dyDescent="0.2">
      <c r="A18" s="98">
        <v>15</v>
      </c>
      <c r="B18" s="99">
        <v>7.3172000000000001E-2</v>
      </c>
      <c r="C18" s="99">
        <v>3.9225000000000003E-2</v>
      </c>
      <c r="D18" s="100">
        <v>0.97319999999999995</v>
      </c>
      <c r="E18" s="101" t="s">
        <v>1339</v>
      </c>
    </row>
    <row r="19" spans="1:5" x14ac:dyDescent="0.2">
      <c r="A19" s="93">
        <v>16</v>
      </c>
      <c r="B19" s="94">
        <v>7.6058000000000001E-2</v>
      </c>
      <c r="C19" s="94">
        <v>3.9671999999999999E-2</v>
      </c>
      <c r="D19" s="95">
        <v>1.0348999999999999</v>
      </c>
      <c r="E19" s="96" t="s">
        <v>1339</v>
      </c>
    </row>
    <row r="20" spans="1:5" x14ac:dyDescent="0.2">
      <c r="A20" s="98">
        <v>17</v>
      </c>
      <c r="B20" s="99">
        <v>7.8945000000000001E-2</v>
      </c>
      <c r="C20" s="99">
        <v>4.0145E-2</v>
      </c>
      <c r="D20" s="100">
        <v>1.0947</v>
      </c>
      <c r="E20" s="101" t="s">
        <v>1339</v>
      </c>
    </row>
    <row r="21" spans="1:5" x14ac:dyDescent="0.2">
      <c r="A21" s="93">
        <v>18</v>
      </c>
      <c r="B21" s="94">
        <v>8.1832000000000002E-2</v>
      </c>
      <c r="C21" s="94">
        <v>4.0641999999999998E-2</v>
      </c>
      <c r="D21" s="95">
        <v>1.1523000000000001</v>
      </c>
      <c r="E21" s="96" t="s">
        <v>1339</v>
      </c>
    </row>
    <row r="22" spans="1:5" x14ac:dyDescent="0.2">
      <c r="A22" s="98">
        <v>19</v>
      </c>
      <c r="B22" s="99">
        <v>8.4718000000000002E-2</v>
      </c>
      <c r="C22" s="99">
        <v>4.1162999999999998E-2</v>
      </c>
      <c r="D22" s="100">
        <v>1.2078</v>
      </c>
      <c r="E22" s="101" t="s">
        <v>1339</v>
      </c>
    </row>
    <row r="23" spans="1:5" x14ac:dyDescent="0.2">
      <c r="A23" s="93">
        <v>20</v>
      </c>
      <c r="B23" s="94">
        <v>8.7605000000000002E-2</v>
      </c>
      <c r="C23" s="94">
        <v>4.1707000000000001E-2</v>
      </c>
      <c r="D23" s="95">
        <v>1.2613000000000001</v>
      </c>
      <c r="E23" s="96" t="s">
        <v>1339</v>
      </c>
    </row>
    <row r="24" spans="1:5" x14ac:dyDescent="0.2">
      <c r="A24" s="98">
        <v>21</v>
      </c>
      <c r="B24" s="99">
        <v>9.0491000000000002E-2</v>
      </c>
      <c r="C24" s="99">
        <v>4.2271999999999997E-2</v>
      </c>
      <c r="D24" s="100">
        <v>1.3127</v>
      </c>
      <c r="E24" s="101" t="s">
        <v>1339</v>
      </c>
    </row>
    <row r="25" spans="1:5" x14ac:dyDescent="0.2">
      <c r="A25" s="93">
        <v>22</v>
      </c>
      <c r="B25" s="94">
        <v>9.3378000000000003E-2</v>
      </c>
      <c r="C25" s="94">
        <v>4.2858E-2</v>
      </c>
      <c r="D25" s="95">
        <v>1.3621000000000001</v>
      </c>
      <c r="E25" s="96" t="s">
        <v>1339</v>
      </c>
    </row>
    <row r="26" spans="1:5" x14ac:dyDescent="0.2">
      <c r="A26" s="98">
        <v>23</v>
      </c>
      <c r="B26" s="99">
        <v>9.6265000000000003E-2</v>
      </c>
      <c r="C26" s="99">
        <v>4.3464999999999997E-2</v>
      </c>
      <c r="D26" s="100">
        <v>1.4095</v>
      </c>
      <c r="E26" s="101" t="s">
        <v>1339</v>
      </c>
    </row>
    <row r="27" spans="1:5" x14ac:dyDescent="0.2">
      <c r="A27" s="93">
        <v>24</v>
      </c>
      <c r="B27" s="94">
        <v>9.9151000000000003E-2</v>
      </c>
      <c r="C27" s="94">
        <v>4.4089999999999997E-2</v>
      </c>
      <c r="D27" s="95">
        <v>1.4550000000000001</v>
      </c>
      <c r="E27" s="96" t="s">
        <v>1339</v>
      </c>
    </row>
    <row r="28" spans="1:5" x14ac:dyDescent="0.2">
      <c r="A28" s="98">
        <v>25</v>
      </c>
      <c r="B28" s="99">
        <v>0.102038</v>
      </c>
      <c r="C28" s="99">
        <v>4.4734999999999997E-2</v>
      </c>
      <c r="D28" s="100">
        <v>1.4985999999999999</v>
      </c>
      <c r="E28" s="101" t="s">
        <v>1339</v>
      </c>
    </row>
    <row r="29" spans="1:5" x14ac:dyDescent="0.2">
      <c r="A29" s="93">
        <v>26</v>
      </c>
      <c r="B29" s="94">
        <v>0.104924</v>
      </c>
      <c r="C29" s="94">
        <v>4.5395999999999999E-2</v>
      </c>
      <c r="D29" s="95">
        <v>1.5403</v>
      </c>
      <c r="E29" s="96" t="s">
        <v>1339</v>
      </c>
    </row>
    <row r="30" spans="1:5" x14ac:dyDescent="0.2">
      <c r="A30" s="98">
        <v>27</v>
      </c>
      <c r="B30" s="99">
        <v>0.107811</v>
      </c>
      <c r="C30" s="99">
        <v>4.6074999999999998E-2</v>
      </c>
      <c r="D30" s="100">
        <v>1.5803</v>
      </c>
      <c r="E30" s="101" t="s">
        <v>1339</v>
      </c>
    </row>
    <row r="31" spans="1:5" x14ac:dyDescent="0.2">
      <c r="A31" s="93">
        <v>28</v>
      </c>
      <c r="B31" s="94">
        <v>0.110698</v>
      </c>
      <c r="C31" s="94">
        <v>4.6769999999999999E-2</v>
      </c>
      <c r="D31" s="95">
        <v>1.6185</v>
      </c>
      <c r="E31" s="96" t="s">
        <v>1339</v>
      </c>
    </row>
    <row r="32" spans="1:5" x14ac:dyDescent="0.2">
      <c r="A32" s="98">
        <v>29</v>
      </c>
      <c r="B32" s="99">
        <v>0.113584</v>
      </c>
      <c r="C32" s="99">
        <v>4.7480000000000001E-2</v>
      </c>
      <c r="D32" s="100">
        <v>1.6551</v>
      </c>
      <c r="E32" s="101" t="s">
        <v>1339</v>
      </c>
    </row>
    <row r="33" spans="1:5" x14ac:dyDescent="0.2">
      <c r="A33" s="93">
        <v>30</v>
      </c>
      <c r="B33" s="94">
        <v>0.11647100000000001</v>
      </c>
      <c r="C33" s="94">
        <v>4.8205999999999999E-2</v>
      </c>
      <c r="D33" s="95">
        <v>1.6900999999999999</v>
      </c>
      <c r="E33" s="96" t="s">
        <v>1339</v>
      </c>
    </row>
    <row r="34" spans="1:5" x14ac:dyDescent="0.2">
      <c r="A34" s="98">
        <v>31</v>
      </c>
      <c r="B34" s="99">
        <v>0.119357</v>
      </c>
      <c r="C34" s="99">
        <v>4.8945000000000002E-2</v>
      </c>
      <c r="D34" s="100">
        <v>1.7235</v>
      </c>
      <c r="E34" s="101" t="s">
        <v>1339</v>
      </c>
    </row>
    <row r="35" spans="1:5" x14ac:dyDescent="0.2">
      <c r="A35" s="93">
        <v>32</v>
      </c>
      <c r="B35" s="94">
        <v>0.12224400000000001</v>
      </c>
      <c r="C35" s="94">
        <v>4.9697999999999999E-2</v>
      </c>
      <c r="D35" s="95">
        <v>1.7555000000000001</v>
      </c>
      <c r="E35" s="96" t="s">
        <v>1339</v>
      </c>
    </row>
    <row r="36" spans="1:5" x14ac:dyDescent="0.2">
      <c r="A36" s="98">
        <v>33</v>
      </c>
      <c r="B36" s="99">
        <v>0.12513099999999999</v>
      </c>
      <c r="C36" s="99">
        <v>5.0464000000000002E-2</v>
      </c>
      <c r="D36" s="100">
        <v>1.7861</v>
      </c>
      <c r="E36" s="101" t="s">
        <v>1339</v>
      </c>
    </row>
    <row r="37" spans="1:5" x14ac:dyDescent="0.2">
      <c r="A37" s="93">
        <v>34</v>
      </c>
      <c r="B37" s="94">
        <v>0.12801699999999999</v>
      </c>
      <c r="C37" s="94">
        <v>5.1242000000000003E-2</v>
      </c>
      <c r="D37" s="95">
        <v>1.8152999999999999</v>
      </c>
      <c r="E37" s="96" t="s">
        <v>1339</v>
      </c>
    </row>
    <row r="38" spans="1:5" x14ac:dyDescent="0.2">
      <c r="A38" s="98">
        <v>35</v>
      </c>
      <c r="B38" s="99">
        <v>0.13090399999999999</v>
      </c>
      <c r="C38" s="99">
        <v>5.2031000000000001E-2</v>
      </c>
      <c r="D38" s="100">
        <v>1.8431999999999999</v>
      </c>
      <c r="E38" s="101" t="s">
        <v>1339</v>
      </c>
    </row>
    <row r="39" spans="1:5" x14ac:dyDescent="0.2">
      <c r="A39" s="93">
        <v>36</v>
      </c>
      <c r="B39" s="94">
        <v>0.13378999999999999</v>
      </c>
      <c r="C39" s="94">
        <v>5.2831999999999997E-2</v>
      </c>
      <c r="D39" s="95">
        <v>1.8698999999999999</v>
      </c>
      <c r="E39" s="96" t="s">
        <v>1339</v>
      </c>
    </row>
    <row r="40" spans="1:5" x14ac:dyDescent="0.2">
      <c r="A40" s="98">
        <v>37</v>
      </c>
      <c r="B40" s="99">
        <v>0.13667699999999999</v>
      </c>
      <c r="C40" s="99">
        <v>5.3643999999999997E-2</v>
      </c>
      <c r="D40" s="100">
        <v>1.8954</v>
      </c>
      <c r="E40" s="101" t="s">
        <v>1339</v>
      </c>
    </row>
    <row r="41" spans="1:5" x14ac:dyDescent="0.2">
      <c r="A41" s="93">
        <v>38</v>
      </c>
      <c r="B41" s="94">
        <v>0.13956399999999999</v>
      </c>
      <c r="C41" s="94">
        <v>5.4466000000000001E-2</v>
      </c>
      <c r="D41" s="95">
        <v>1.9198</v>
      </c>
      <c r="E41" s="96" t="s">
        <v>1339</v>
      </c>
    </row>
    <row r="42" spans="1:5" x14ac:dyDescent="0.2">
      <c r="A42" s="98">
        <v>39</v>
      </c>
      <c r="B42" s="99">
        <v>0.14244999999999999</v>
      </c>
      <c r="C42" s="99">
        <v>5.5298E-2</v>
      </c>
      <c r="D42" s="100">
        <v>1.9431</v>
      </c>
      <c r="E42" s="101" t="s">
        <v>1339</v>
      </c>
    </row>
    <row r="43" spans="1:5" x14ac:dyDescent="0.2">
      <c r="A43" s="93">
        <v>40</v>
      </c>
      <c r="B43" s="94">
        <v>0.14533699999999999</v>
      </c>
      <c r="C43" s="94">
        <v>5.6139000000000001E-2</v>
      </c>
      <c r="D43" s="95">
        <v>1.9654</v>
      </c>
      <c r="E43" s="96" t="s">
        <v>1339</v>
      </c>
    </row>
    <row r="44" spans="1:5" x14ac:dyDescent="0.2">
      <c r="A44" s="98">
        <v>41</v>
      </c>
      <c r="B44" s="99">
        <v>0.14822299999999999</v>
      </c>
      <c r="C44" s="99">
        <v>5.6988999999999998E-2</v>
      </c>
      <c r="D44" s="100">
        <v>1.9866999999999999</v>
      </c>
      <c r="E44" s="101" t="s">
        <v>1339</v>
      </c>
    </row>
    <row r="45" spans="1:5" x14ac:dyDescent="0.2">
      <c r="A45" s="93">
        <v>42</v>
      </c>
      <c r="B45" s="94">
        <v>0.15110999999999999</v>
      </c>
      <c r="C45" s="94">
        <v>5.7847999999999997E-2</v>
      </c>
      <c r="D45" s="95">
        <v>2.0072000000000001</v>
      </c>
      <c r="E45" s="96" t="s">
        <v>1339</v>
      </c>
    </row>
    <row r="46" spans="1:5" x14ac:dyDescent="0.2">
      <c r="A46" s="98">
        <v>43</v>
      </c>
      <c r="B46" s="99">
        <v>0.153997</v>
      </c>
      <c r="C46" s="99">
        <v>5.8715000000000003E-2</v>
      </c>
      <c r="D46" s="100">
        <v>2.0266999999999999</v>
      </c>
      <c r="E46" s="101" t="s">
        <v>1339</v>
      </c>
    </row>
    <row r="47" spans="1:5" x14ac:dyDescent="0.2">
      <c r="A47" s="93">
        <v>44</v>
      </c>
      <c r="B47" s="94">
        <v>0.15688299999999999</v>
      </c>
      <c r="C47" s="94">
        <v>5.9589999999999997E-2</v>
      </c>
      <c r="D47" s="95">
        <v>2.0453999999999999</v>
      </c>
      <c r="E47" s="96" t="s">
        <v>1339</v>
      </c>
    </row>
    <row r="48" spans="1:5" x14ac:dyDescent="0.2">
      <c r="A48" s="98">
        <v>45</v>
      </c>
      <c r="B48" s="99">
        <v>0.15977</v>
      </c>
      <c r="C48" s="99">
        <v>6.0471999999999998E-2</v>
      </c>
      <c r="D48" s="100">
        <v>2.0632999999999999</v>
      </c>
      <c r="E48" s="101" t="s">
        <v>1339</v>
      </c>
    </row>
    <row r="49" spans="1:5" x14ac:dyDescent="0.2">
      <c r="A49" s="93">
        <v>46</v>
      </c>
      <c r="B49" s="94">
        <v>0.162656</v>
      </c>
      <c r="C49" s="94">
        <v>6.1360999999999999E-2</v>
      </c>
      <c r="D49" s="95">
        <v>2.0804</v>
      </c>
      <c r="E49" s="96" t="s">
        <v>1339</v>
      </c>
    </row>
    <row r="50" spans="1:5" x14ac:dyDescent="0.2">
      <c r="A50" s="98">
        <v>47</v>
      </c>
      <c r="B50" s="99">
        <v>0.165543</v>
      </c>
      <c r="C50" s="99">
        <v>6.2257E-2</v>
      </c>
      <c r="D50" s="100">
        <v>2.0968</v>
      </c>
      <c r="E50" s="101" t="s">
        <v>1339</v>
      </c>
    </row>
    <row r="51" spans="1:5" x14ac:dyDescent="0.2">
      <c r="A51" s="93">
        <v>48</v>
      </c>
      <c r="B51" s="94">
        <v>0.16843</v>
      </c>
      <c r="C51" s="94">
        <v>6.3159999999999994E-2</v>
      </c>
      <c r="D51" s="95">
        <v>2.1126</v>
      </c>
      <c r="E51" s="96" t="s">
        <v>1339</v>
      </c>
    </row>
    <row r="52" spans="1:5" x14ac:dyDescent="0.2">
      <c r="A52" s="98">
        <v>49</v>
      </c>
      <c r="B52" s="99">
        <v>0.171316</v>
      </c>
      <c r="C52" s="99">
        <v>6.4069000000000001E-2</v>
      </c>
      <c r="D52" s="100">
        <v>2.1276000000000002</v>
      </c>
      <c r="E52" s="101" t="s">
        <v>1339</v>
      </c>
    </row>
    <row r="53" spans="1:5" x14ac:dyDescent="0.2">
      <c r="A53" s="93">
        <v>50</v>
      </c>
      <c r="B53" s="94">
        <v>0.174203</v>
      </c>
      <c r="C53" s="94">
        <v>6.4984E-2</v>
      </c>
      <c r="D53" s="95">
        <v>2.1421000000000001</v>
      </c>
      <c r="E53" s="96" t="s">
        <v>1339</v>
      </c>
    </row>
    <row r="54" spans="1:5" x14ac:dyDescent="0.2">
      <c r="A54" s="98">
        <v>51</v>
      </c>
      <c r="B54" s="99">
        <v>0.177089</v>
      </c>
      <c r="C54" s="99">
        <v>6.5905000000000005E-2</v>
      </c>
      <c r="D54" s="100">
        <v>2.1560000000000001</v>
      </c>
      <c r="E54" s="101" t="s">
        <v>1339</v>
      </c>
    </row>
    <row r="55" spans="1:5" x14ac:dyDescent="0.2">
      <c r="A55" s="93">
        <v>52</v>
      </c>
      <c r="B55" s="94">
        <v>0.179976</v>
      </c>
      <c r="C55" s="94">
        <v>6.6831000000000002E-2</v>
      </c>
      <c r="D55" s="95">
        <v>2.1692999999999998</v>
      </c>
      <c r="E55" s="96" t="s">
        <v>1339</v>
      </c>
    </row>
    <row r="56" spans="1:5" x14ac:dyDescent="0.2">
      <c r="A56" s="98">
        <v>53</v>
      </c>
      <c r="B56" s="99">
        <v>0.182863</v>
      </c>
      <c r="C56" s="99">
        <v>6.7763000000000004E-2</v>
      </c>
      <c r="D56" s="100">
        <v>2.1821000000000002</v>
      </c>
      <c r="E56" s="101" t="s">
        <v>1339</v>
      </c>
    </row>
    <row r="57" spans="1:5" x14ac:dyDescent="0.2">
      <c r="A57" s="93">
        <v>54</v>
      </c>
      <c r="B57" s="94">
        <v>0.185749</v>
      </c>
      <c r="C57" s="94">
        <v>6.8698999999999996E-2</v>
      </c>
      <c r="D57" s="95">
        <v>2.1943000000000001</v>
      </c>
      <c r="E57" s="96" t="s">
        <v>1339</v>
      </c>
    </row>
    <row r="58" spans="1:5" x14ac:dyDescent="0.2">
      <c r="A58" s="98">
        <v>55</v>
      </c>
      <c r="B58" s="99">
        <v>0.188636</v>
      </c>
      <c r="C58" s="99">
        <v>6.9640999999999995E-2</v>
      </c>
      <c r="D58" s="100">
        <v>2.2061000000000002</v>
      </c>
      <c r="E58" s="101" t="s">
        <v>1339</v>
      </c>
    </row>
    <row r="59" spans="1:5" x14ac:dyDescent="0.2">
      <c r="A59" s="93">
        <v>56</v>
      </c>
      <c r="B59" s="94">
        <v>0.191522</v>
      </c>
      <c r="C59" s="94">
        <v>7.0586999999999997E-2</v>
      </c>
      <c r="D59" s="95">
        <v>2.2174</v>
      </c>
      <c r="E59" s="96" t="s">
        <v>1339</v>
      </c>
    </row>
    <row r="60" spans="1:5" x14ac:dyDescent="0.2">
      <c r="A60" s="98">
        <v>57</v>
      </c>
      <c r="B60" s="99">
        <v>0.194409</v>
      </c>
      <c r="C60" s="99">
        <v>7.1538000000000004E-2</v>
      </c>
      <c r="D60" s="100">
        <v>2.2282999999999999</v>
      </c>
      <c r="E60" s="101" t="s">
        <v>1339</v>
      </c>
    </row>
    <row r="61" spans="1:5" x14ac:dyDescent="0.2">
      <c r="A61" s="93">
        <v>58</v>
      </c>
      <c r="B61" s="94">
        <v>0.197296</v>
      </c>
      <c r="C61" s="94">
        <v>7.2493000000000002E-2</v>
      </c>
      <c r="D61" s="95">
        <v>2.2387999999999999</v>
      </c>
      <c r="E61" s="96" t="s">
        <v>1339</v>
      </c>
    </row>
    <row r="62" spans="1:5" x14ac:dyDescent="0.2">
      <c r="A62" s="98">
        <v>59</v>
      </c>
      <c r="B62" s="99">
        <v>0.200182</v>
      </c>
      <c r="C62" s="99">
        <v>7.3452000000000003E-2</v>
      </c>
      <c r="D62" s="100">
        <v>2.2488000000000001</v>
      </c>
      <c r="E62" s="101" t="s">
        <v>1339</v>
      </c>
    </row>
    <row r="63" spans="1:5" x14ac:dyDescent="0.2">
      <c r="A63" s="93">
        <v>60</v>
      </c>
      <c r="B63" s="94">
        <v>0.203069</v>
      </c>
      <c r="C63" s="94">
        <v>7.4415999999999996E-2</v>
      </c>
      <c r="D63" s="95">
        <v>2.2585000000000002</v>
      </c>
      <c r="E63" s="96" t="s">
        <v>1339</v>
      </c>
    </row>
    <row r="64" spans="1:5" x14ac:dyDescent="0.2">
      <c r="A64" s="98">
        <v>61</v>
      </c>
      <c r="B64" s="99">
        <v>0.205955</v>
      </c>
      <c r="C64" s="99">
        <v>7.5383000000000006E-2</v>
      </c>
      <c r="D64" s="100">
        <v>2.2677999999999998</v>
      </c>
      <c r="E64" s="101" t="s">
        <v>1339</v>
      </c>
    </row>
    <row r="65" spans="1:5" x14ac:dyDescent="0.2">
      <c r="A65" s="93">
        <v>62</v>
      </c>
      <c r="B65" s="94">
        <v>0.208842</v>
      </c>
      <c r="C65" s="94">
        <v>7.6354000000000005E-2</v>
      </c>
      <c r="D65" s="95">
        <v>2.2768000000000002</v>
      </c>
      <c r="E65" s="96" t="s">
        <v>1339</v>
      </c>
    </row>
    <row r="66" spans="1:5" x14ac:dyDescent="0.2">
      <c r="A66" s="98">
        <v>63</v>
      </c>
      <c r="B66" s="99">
        <v>0.211729</v>
      </c>
      <c r="C66" s="99">
        <v>7.7327999999999994E-2</v>
      </c>
      <c r="D66" s="100">
        <v>2.2854000000000001</v>
      </c>
      <c r="E66" s="101" t="s">
        <v>1339</v>
      </c>
    </row>
    <row r="67" spans="1:5" x14ac:dyDescent="0.2">
      <c r="A67" s="93">
        <v>64</v>
      </c>
      <c r="B67" s="94">
        <v>0.214615</v>
      </c>
      <c r="C67" s="94">
        <v>7.8306000000000001E-2</v>
      </c>
      <c r="D67" s="95">
        <v>2.2938000000000001</v>
      </c>
      <c r="E67" s="96" t="s">
        <v>1339</v>
      </c>
    </row>
    <row r="68" spans="1:5" x14ac:dyDescent="0.2">
      <c r="A68" s="98">
        <v>65</v>
      </c>
      <c r="B68" s="99">
        <v>0.217502</v>
      </c>
      <c r="C68" s="99">
        <v>7.9286999999999996E-2</v>
      </c>
      <c r="D68" s="100">
        <v>2.3018000000000001</v>
      </c>
      <c r="E68" s="101" t="s">
        <v>1339</v>
      </c>
    </row>
    <row r="69" spans="1:5" x14ac:dyDescent="0.2">
      <c r="A69" s="93">
        <v>66</v>
      </c>
      <c r="B69" s="94">
        <v>0.220388</v>
      </c>
      <c r="C69" s="94">
        <v>8.0270999999999995E-2</v>
      </c>
      <c r="D69" s="95">
        <v>2.3094999999999999</v>
      </c>
      <c r="E69" s="96" t="s">
        <v>1339</v>
      </c>
    </row>
    <row r="70" spans="1:5" x14ac:dyDescent="0.2">
      <c r="A70" s="98">
        <v>67</v>
      </c>
      <c r="B70" s="99">
        <v>0.223275</v>
      </c>
      <c r="C70" s="99">
        <v>8.1257999999999997E-2</v>
      </c>
      <c r="D70" s="100">
        <v>2.3170000000000002</v>
      </c>
      <c r="E70" s="101" t="s">
        <v>1339</v>
      </c>
    </row>
    <row r="71" spans="1:5" x14ac:dyDescent="0.2">
      <c r="A71" s="93">
        <v>68</v>
      </c>
      <c r="B71" s="94">
        <v>0.226162</v>
      </c>
      <c r="C71" s="94">
        <v>8.2249000000000003E-2</v>
      </c>
      <c r="D71" s="95">
        <v>2.3241999999999998</v>
      </c>
      <c r="E71" s="96" t="s">
        <v>1339</v>
      </c>
    </row>
    <row r="72" spans="1:5" x14ac:dyDescent="0.2">
      <c r="A72" s="98">
        <v>69</v>
      </c>
      <c r="B72" s="99">
        <v>0.229048</v>
      </c>
      <c r="C72" s="99">
        <v>8.3241999999999997E-2</v>
      </c>
      <c r="D72" s="100">
        <v>2.3311000000000002</v>
      </c>
      <c r="E72" s="101" t="s">
        <v>1339</v>
      </c>
    </row>
    <row r="73" spans="1:5" x14ac:dyDescent="0.2">
      <c r="A73" s="93">
        <v>70</v>
      </c>
      <c r="B73" s="94">
        <v>0.231935</v>
      </c>
      <c r="C73" s="94">
        <v>8.4237999999999993E-2</v>
      </c>
      <c r="D73" s="95">
        <v>2.3378999999999999</v>
      </c>
      <c r="E73" s="96" t="s">
        <v>1339</v>
      </c>
    </row>
    <row r="74" spans="1:5" x14ac:dyDescent="0.2">
      <c r="A74" s="98">
        <v>71</v>
      </c>
      <c r="B74" s="99">
        <v>0.234821</v>
      </c>
      <c r="C74" s="99">
        <v>8.5236000000000006E-2</v>
      </c>
      <c r="D74" s="100">
        <v>2.3443000000000001</v>
      </c>
      <c r="E74" s="101" t="s">
        <v>1339</v>
      </c>
    </row>
    <row r="75" spans="1:5" x14ac:dyDescent="0.2">
      <c r="A75" s="93">
        <v>72</v>
      </c>
      <c r="B75" s="94">
        <v>0.237708</v>
      </c>
      <c r="C75" s="94">
        <v>8.6236999999999994E-2</v>
      </c>
      <c r="D75" s="95">
        <v>2.3506</v>
      </c>
      <c r="E75" s="96" t="s">
        <v>1339</v>
      </c>
    </row>
    <row r="76" spans="1:5" x14ac:dyDescent="0.2">
      <c r="A76" s="98">
        <v>73</v>
      </c>
      <c r="B76" s="99">
        <v>0.240595</v>
      </c>
      <c r="C76" s="99">
        <v>8.7240999999999999E-2</v>
      </c>
      <c r="D76" s="100">
        <v>2.3565999999999998</v>
      </c>
      <c r="E76" s="101" t="s">
        <v>1339</v>
      </c>
    </row>
    <row r="77" spans="1:5" x14ac:dyDescent="0.2">
      <c r="A77" s="93">
        <v>74</v>
      </c>
      <c r="B77" s="94">
        <v>0.243481</v>
      </c>
      <c r="C77" s="94">
        <v>8.8246000000000005E-2</v>
      </c>
      <c r="D77" s="95">
        <v>2.3624999999999998</v>
      </c>
      <c r="E77" s="96" t="s">
        <v>1339</v>
      </c>
    </row>
    <row r="78" spans="1:5" x14ac:dyDescent="0.2">
      <c r="A78" s="98">
        <v>75</v>
      </c>
      <c r="B78" s="99">
        <v>0.246368</v>
      </c>
      <c r="C78" s="99">
        <v>8.9255000000000001E-2</v>
      </c>
      <c r="D78" s="100">
        <v>2.3681000000000001</v>
      </c>
      <c r="E78" s="101" t="s">
        <v>1339</v>
      </c>
    </row>
    <row r="79" spans="1:5" x14ac:dyDescent="0.2">
      <c r="A79" s="93">
        <v>76</v>
      </c>
      <c r="B79" s="94">
        <v>0.249254</v>
      </c>
      <c r="C79" s="94">
        <v>9.0264999999999998E-2</v>
      </c>
      <c r="D79" s="95">
        <v>2.3736000000000002</v>
      </c>
      <c r="E79" s="96" t="s">
        <v>1339</v>
      </c>
    </row>
    <row r="80" spans="1:5" x14ac:dyDescent="0.2">
      <c r="A80" s="98">
        <v>77</v>
      </c>
      <c r="B80" s="99">
        <v>0.252141</v>
      </c>
      <c r="C80" s="99">
        <v>9.1277999999999998E-2</v>
      </c>
      <c r="D80" s="100">
        <v>2.3788999999999998</v>
      </c>
      <c r="E80" s="101" t="s">
        <v>1339</v>
      </c>
    </row>
    <row r="81" spans="1:5" x14ac:dyDescent="0.2">
      <c r="A81" s="93">
        <v>78</v>
      </c>
      <c r="B81" s="94">
        <v>0.25502799999999998</v>
      </c>
      <c r="C81" s="94">
        <v>9.2291999999999999E-2</v>
      </c>
      <c r="D81" s="95">
        <v>2.3839999999999999</v>
      </c>
      <c r="E81" s="96" t="s">
        <v>1339</v>
      </c>
    </row>
    <row r="82" spans="1:5" x14ac:dyDescent="0.2">
      <c r="A82" s="98">
        <v>79</v>
      </c>
      <c r="B82" s="99">
        <v>0.25791399999999998</v>
      </c>
      <c r="C82" s="99">
        <v>9.3309000000000003E-2</v>
      </c>
      <c r="D82" s="100">
        <v>2.3889999999999998</v>
      </c>
      <c r="E82" s="101" t="s">
        <v>1339</v>
      </c>
    </row>
    <row r="83" spans="1:5" x14ac:dyDescent="0.2">
      <c r="A83" s="93">
        <v>80</v>
      </c>
      <c r="B83" s="94">
        <v>0.26080100000000001</v>
      </c>
      <c r="C83" s="94">
        <v>9.4327999999999995E-2</v>
      </c>
      <c r="D83" s="95">
        <v>2.3938000000000001</v>
      </c>
      <c r="E83" s="96" t="s">
        <v>1339</v>
      </c>
    </row>
    <row r="84" spans="1:5" x14ac:dyDescent="0.2">
      <c r="A84" s="98">
        <v>81</v>
      </c>
      <c r="B84" s="99">
        <v>0.263687</v>
      </c>
      <c r="C84" s="99">
        <v>9.5348000000000002E-2</v>
      </c>
      <c r="D84" s="100">
        <v>2.3984000000000001</v>
      </c>
      <c r="E84" s="101" t="s">
        <v>1339</v>
      </c>
    </row>
    <row r="85" spans="1:5" x14ac:dyDescent="0.2">
      <c r="A85" s="93">
        <v>82</v>
      </c>
      <c r="B85" s="94">
        <v>0.26657399999999998</v>
      </c>
      <c r="C85" s="94">
        <v>9.6369999999999997E-2</v>
      </c>
      <c r="D85" s="95">
        <v>2.403</v>
      </c>
      <c r="E85" s="96" t="s">
        <v>1339</v>
      </c>
    </row>
    <row r="86" spans="1:5" x14ac:dyDescent="0.2">
      <c r="A86" s="98">
        <v>83</v>
      </c>
      <c r="B86" s="99">
        <v>0.26946100000000001</v>
      </c>
      <c r="C86" s="99">
        <v>9.7394999999999995E-2</v>
      </c>
      <c r="D86" s="100">
        <v>2.4073000000000002</v>
      </c>
      <c r="E86" s="101" t="s">
        <v>1339</v>
      </c>
    </row>
    <row r="87" spans="1:5" x14ac:dyDescent="0.2">
      <c r="A87" s="93">
        <v>84</v>
      </c>
      <c r="B87" s="94">
        <v>0.27234700000000001</v>
      </c>
      <c r="C87" s="94">
        <v>9.8419999999999994E-2</v>
      </c>
      <c r="D87" s="95">
        <v>2.4116</v>
      </c>
      <c r="E87" s="96" t="s">
        <v>1339</v>
      </c>
    </row>
    <row r="88" spans="1:5" x14ac:dyDescent="0.2">
      <c r="A88" s="98">
        <v>85</v>
      </c>
      <c r="B88" s="99">
        <v>0.27523399999999998</v>
      </c>
      <c r="C88" s="99">
        <v>9.9447999999999995E-2</v>
      </c>
      <c r="D88" s="100">
        <v>2.4157000000000002</v>
      </c>
      <c r="E88" s="101" t="s">
        <v>1339</v>
      </c>
    </row>
    <row r="89" spans="1:5" x14ac:dyDescent="0.2">
      <c r="A89" s="93">
        <v>86</v>
      </c>
      <c r="B89" s="94">
        <v>0.27811999999999998</v>
      </c>
      <c r="C89" s="94">
        <v>0.100477</v>
      </c>
      <c r="D89" s="95">
        <v>2.4197000000000002</v>
      </c>
      <c r="E89" s="96" t="s">
        <v>1339</v>
      </c>
    </row>
    <row r="90" spans="1:5" x14ac:dyDescent="0.2">
      <c r="A90" s="98">
        <v>87</v>
      </c>
      <c r="B90" s="99">
        <v>0.28100700000000001</v>
      </c>
      <c r="C90" s="99">
        <v>0.101508</v>
      </c>
      <c r="D90" s="100">
        <v>2.4235000000000002</v>
      </c>
      <c r="E90" s="101" t="s">
        <v>1339</v>
      </c>
    </row>
    <row r="91" spans="1:5" x14ac:dyDescent="0.2">
      <c r="A91" s="93">
        <v>88</v>
      </c>
      <c r="B91" s="94">
        <v>0.28389399999999998</v>
      </c>
      <c r="C91" s="94">
        <v>0.10254000000000001</v>
      </c>
      <c r="D91" s="95">
        <v>2.4272999999999998</v>
      </c>
      <c r="E91" s="96" t="s">
        <v>1339</v>
      </c>
    </row>
    <row r="92" spans="1:5" x14ac:dyDescent="0.2">
      <c r="A92" s="98">
        <v>89</v>
      </c>
      <c r="B92" s="99">
        <v>0.28677999999999998</v>
      </c>
      <c r="C92" s="99">
        <v>0.103573</v>
      </c>
      <c r="D92" s="100">
        <v>2.4308999999999998</v>
      </c>
      <c r="E92" s="101" t="s">
        <v>1339</v>
      </c>
    </row>
    <row r="93" spans="1:5" x14ac:dyDescent="0.2">
      <c r="A93" s="93">
        <v>90</v>
      </c>
      <c r="B93" s="94">
        <v>0.28966700000000001</v>
      </c>
      <c r="C93" s="94">
        <v>0.10460800000000001</v>
      </c>
      <c r="D93" s="95">
        <v>2.4344999999999999</v>
      </c>
      <c r="E93" s="96" t="s">
        <v>1339</v>
      </c>
    </row>
    <row r="94" spans="1:5" x14ac:dyDescent="0.2">
      <c r="A94" s="98">
        <v>91</v>
      </c>
      <c r="B94" s="99">
        <v>0.29255300000000001</v>
      </c>
      <c r="C94" s="99">
        <v>0.105645</v>
      </c>
      <c r="D94" s="100">
        <v>2.4379</v>
      </c>
      <c r="E94" s="101" t="s">
        <v>1339</v>
      </c>
    </row>
    <row r="95" spans="1:5" x14ac:dyDescent="0.2">
      <c r="A95" s="93">
        <v>92</v>
      </c>
      <c r="B95" s="94">
        <v>0.29543999999999998</v>
      </c>
      <c r="C95" s="94">
        <v>0.106683</v>
      </c>
      <c r="D95" s="95">
        <v>2.4413</v>
      </c>
      <c r="E95" s="96" t="s">
        <v>1339</v>
      </c>
    </row>
    <row r="96" spans="1:5" x14ac:dyDescent="0.2">
      <c r="A96" s="98">
        <v>93</v>
      </c>
      <c r="B96" s="99">
        <v>0.29832700000000001</v>
      </c>
      <c r="C96" s="99">
        <v>0.107722</v>
      </c>
      <c r="D96" s="100">
        <v>2.4445000000000001</v>
      </c>
      <c r="E96" s="101" t="s">
        <v>1339</v>
      </c>
    </row>
    <row r="97" spans="1:5" x14ac:dyDescent="0.2">
      <c r="A97" s="93">
        <v>94</v>
      </c>
      <c r="B97" s="94">
        <v>0.30121300000000001</v>
      </c>
      <c r="C97" s="94">
        <v>0.108762</v>
      </c>
      <c r="D97" s="95">
        <v>2.4477000000000002</v>
      </c>
      <c r="E97" s="96" t="s">
        <v>1339</v>
      </c>
    </row>
    <row r="98" spans="1:5" x14ac:dyDescent="0.2">
      <c r="A98" s="98">
        <v>95</v>
      </c>
      <c r="B98" s="99">
        <v>0.30409999999999998</v>
      </c>
      <c r="C98" s="99">
        <v>0.109804</v>
      </c>
      <c r="D98" s="100">
        <v>2.4506999999999999</v>
      </c>
      <c r="E98" s="101" t="s">
        <v>1339</v>
      </c>
    </row>
    <row r="99" spans="1:5" x14ac:dyDescent="0.2">
      <c r="A99" s="93">
        <v>96</v>
      </c>
      <c r="B99" s="94">
        <v>0.30698599999999998</v>
      </c>
      <c r="C99" s="94">
        <v>0.110846</v>
      </c>
      <c r="D99" s="95">
        <v>2.4537</v>
      </c>
      <c r="E99" s="96" t="s">
        <v>1339</v>
      </c>
    </row>
    <row r="100" spans="1:5" x14ac:dyDescent="0.2">
      <c r="A100" s="98">
        <v>97</v>
      </c>
      <c r="B100" s="99">
        <v>0.30987300000000001</v>
      </c>
      <c r="C100" s="99">
        <v>0.11189</v>
      </c>
      <c r="D100" s="100">
        <v>2.4565999999999999</v>
      </c>
      <c r="E100" s="101" t="s">
        <v>1339</v>
      </c>
    </row>
    <row r="101" spans="1:5" x14ac:dyDescent="0.2">
      <c r="A101" s="93">
        <v>98</v>
      </c>
      <c r="B101" s="94">
        <v>0.31275999999999998</v>
      </c>
      <c r="C101" s="94">
        <v>0.11293499999999999</v>
      </c>
      <c r="D101" s="95">
        <v>2.4594999999999998</v>
      </c>
      <c r="E101" s="96" t="s">
        <v>1339</v>
      </c>
    </row>
    <row r="102" spans="1:5" x14ac:dyDescent="0.2">
      <c r="A102" s="98">
        <v>99</v>
      </c>
      <c r="B102" s="99">
        <v>0.31564599999999998</v>
      </c>
      <c r="C102" s="99">
        <v>0.113982</v>
      </c>
      <c r="D102" s="100">
        <v>2.4622000000000002</v>
      </c>
      <c r="E102" s="101" t="s">
        <v>1339</v>
      </c>
    </row>
    <row r="103" spans="1:5" x14ac:dyDescent="0.2">
      <c r="A103" s="93">
        <v>100</v>
      </c>
      <c r="B103" s="94">
        <v>0.31853300000000001</v>
      </c>
      <c r="C103" s="94">
        <v>0.11502900000000001</v>
      </c>
      <c r="D103" s="95">
        <v>2.4649000000000001</v>
      </c>
      <c r="E103" s="96" t="s">
        <v>1339</v>
      </c>
    </row>
  </sheetData>
  <mergeCells count="2">
    <mergeCell ref="A1:E1"/>
    <mergeCell ref="A2:E2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E8AD4-1DA5-4BE2-BF42-991C82FB956C}">
  <sheetPr codeName="Sheet16"/>
  <dimension ref="A1:I83"/>
  <sheetViews>
    <sheetView workbookViewId="0">
      <selection sqref="A1:F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16" style="51" customWidth="1"/>
    <col min="6" max="6" width="8.6640625" style="51"/>
    <col min="7" max="7" width="22" style="51" customWidth="1"/>
    <col min="8" max="8" width="16" style="51" customWidth="1"/>
    <col min="9" max="9" width="18" style="51" customWidth="1"/>
    <col min="10" max="16384" width="8.6640625" style="51"/>
  </cols>
  <sheetData>
    <row r="1" spans="1:9" ht="24.75" customHeight="1" x14ac:dyDescent="0.2">
      <c r="A1" s="152" t="s">
        <v>1340</v>
      </c>
      <c r="B1" s="134"/>
      <c r="C1" s="134"/>
      <c r="D1" s="134"/>
      <c r="E1" s="134"/>
      <c r="F1" s="134"/>
    </row>
    <row r="2" spans="1:9" x14ac:dyDescent="0.2">
      <c r="A2" s="154" t="s">
        <v>1341</v>
      </c>
      <c r="B2" s="134"/>
      <c r="C2" s="134"/>
      <c r="D2" s="134"/>
      <c r="E2" s="134"/>
      <c r="F2" s="134"/>
    </row>
    <row r="3" spans="1:9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  <c r="I3" s="54" t="s">
        <v>1342</v>
      </c>
    </row>
    <row r="4" spans="1:9" x14ac:dyDescent="0.2">
      <c r="A4" s="98">
        <v>1</v>
      </c>
      <c r="B4" s="99">
        <v>2.4698000000000001E-2</v>
      </c>
      <c r="C4" s="99">
        <v>4.7344999999999998E-2</v>
      </c>
      <c r="D4" s="100">
        <v>-0.21759999999999999</v>
      </c>
      <c r="E4" s="101" t="s">
        <v>1339</v>
      </c>
      <c r="G4" s="92" t="s">
        <v>1112</v>
      </c>
      <c r="H4" s="70">
        <v>0.78990000000000005</v>
      </c>
      <c r="I4" s="102">
        <v>0</v>
      </c>
    </row>
    <row r="5" spans="1:9" x14ac:dyDescent="0.2">
      <c r="A5" s="93">
        <v>2</v>
      </c>
      <c r="B5" s="94">
        <v>2.7744999999999999E-2</v>
      </c>
      <c r="C5" s="94">
        <v>4.8495000000000003E-2</v>
      </c>
      <c r="D5" s="95">
        <v>-0.14960000000000001</v>
      </c>
      <c r="E5" s="96" t="s">
        <v>1339</v>
      </c>
      <c r="G5" s="97" t="s">
        <v>1113</v>
      </c>
      <c r="H5" s="103">
        <v>0</v>
      </c>
      <c r="I5" s="72">
        <v>0.29659999999999997</v>
      </c>
    </row>
    <row r="6" spans="1:9" x14ac:dyDescent="0.2">
      <c r="A6" s="98">
        <v>3</v>
      </c>
      <c r="B6" s="99">
        <v>3.0793000000000001E-2</v>
      </c>
      <c r="C6" s="99">
        <v>5.0020000000000002E-2</v>
      </c>
      <c r="D6" s="100">
        <v>-8.4099999999999994E-2</v>
      </c>
      <c r="E6" s="101" t="s">
        <v>1339</v>
      </c>
      <c r="G6" s="92" t="s">
        <v>1114</v>
      </c>
      <c r="H6" s="102">
        <v>0</v>
      </c>
      <c r="I6" s="102">
        <v>0</v>
      </c>
    </row>
    <row r="7" spans="1:9" x14ac:dyDescent="0.2">
      <c r="A7" s="93">
        <v>4</v>
      </c>
      <c r="B7" s="94">
        <v>3.3840000000000002E-2</v>
      </c>
      <c r="C7" s="94">
        <v>5.1664000000000002E-2</v>
      </c>
      <c r="D7" s="95">
        <v>-2.2499999999999999E-2</v>
      </c>
      <c r="E7" s="96" t="s">
        <v>1339</v>
      </c>
      <c r="G7" s="97" t="s">
        <v>1115</v>
      </c>
      <c r="H7" s="103">
        <v>0</v>
      </c>
      <c r="I7" s="103">
        <v>0</v>
      </c>
    </row>
    <row r="8" spans="1:9" x14ac:dyDescent="0.2">
      <c r="A8" s="98">
        <v>5</v>
      </c>
      <c r="B8" s="99">
        <v>3.6887999999999997E-2</v>
      </c>
      <c r="C8" s="99">
        <v>5.3414000000000003E-2</v>
      </c>
      <c r="D8" s="100">
        <v>3.5299999999999998E-2</v>
      </c>
      <c r="E8" s="101" t="s">
        <v>1339</v>
      </c>
      <c r="G8" s="92" t="s">
        <v>1116</v>
      </c>
      <c r="H8" s="102">
        <v>0</v>
      </c>
      <c r="I8" s="102">
        <v>0</v>
      </c>
    </row>
    <row r="9" spans="1:9" x14ac:dyDescent="0.2">
      <c r="A9" s="93">
        <v>6</v>
      </c>
      <c r="B9" s="94">
        <v>3.9934999999999998E-2</v>
      </c>
      <c r="C9" s="94">
        <v>5.5258000000000002E-2</v>
      </c>
      <c r="D9" s="95">
        <v>8.9300000000000004E-2</v>
      </c>
      <c r="E9" s="96" t="s">
        <v>1339</v>
      </c>
      <c r="G9" s="97" t="s">
        <v>1117</v>
      </c>
      <c r="H9" s="103">
        <v>0</v>
      </c>
      <c r="I9" s="103">
        <v>0</v>
      </c>
    </row>
    <row r="10" spans="1:9" x14ac:dyDescent="0.2">
      <c r="A10" s="98">
        <v>7</v>
      </c>
      <c r="B10" s="99">
        <v>4.2981999999999999E-2</v>
      </c>
      <c r="C10" s="99">
        <v>5.7188999999999997E-2</v>
      </c>
      <c r="D10" s="100">
        <v>0.1396</v>
      </c>
      <c r="E10" s="101" t="s">
        <v>1339</v>
      </c>
      <c r="G10" s="92" t="s">
        <v>1118</v>
      </c>
      <c r="H10" s="102">
        <v>0</v>
      </c>
      <c r="I10" s="102">
        <v>0</v>
      </c>
    </row>
    <row r="11" spans="1:9" x14ac:dyDescent="0.2">
      <c r="A11" s="93">
        <v>8</v>
      </c>
      <c r="B11" s="94">
        <v>4.6030000000000001E-2</v>
      </c>
      <c r="C11" s="94">
        <v>5.9200999999999997E-2</v>
      </c>
      <c r="D11" s="95">
        <v>0.18629999999999999</v>
      </c>
      <c r="E11" s="96" t="s">
        <v>1339</v>
      </c>
      <c r="G11" s="97" t="s">
        <v>1119</v>
      </c>
      <c r="H11" s="103">
        <v>0</v>
      </c>
      <c r="I11" s="72">
        <v>0.70340000000000003</v>
      </c>
    </row>
    <row r="12" spans="1:9" x14ac:dyDescent="0.2">
      <c r="A12" s="98">
        <v>9</v>
      </c>
      <c r="B12" s="99">
        <v>4.9077000000000003E-2</v>
      </c>
      <c r="C12" s="99">
        <v>6.1289000000000003E-2</v>
      </c>
      <c r="D12" s="100">
        <v>0.22969999999999999</v>
      </c>
      <c r="E12" s="101" t="s">
        <v>1339</v>
      </c>
      <c r="G12" s="92" t="s">
        <v>1120</v>
      </c>
      <c r="H12" s="102">
        <v>0</v>
      </c>
      <c r="I12" s="102">
        <v>0</v>
      </c>
    </row>
    <row r="13" spans="1:9" x14ac:dyDescent="0.2">
      <c r="A13" s="93">
        <v>10</v>
      </c>
      <c r="B13" s="94">
        <v>5.2124999999999998E-2</v>
      </c>
      <c r="C13" s="94">
        <v>6.3444E-2</v>
      </c>
      <c r="D13" s="95">
        <v>0.26989999999999997</v>
      </c>
      <c r="E13" s="96" t="s">
        <v>1339</v>
      </c>
      <c r="G13" s="97" t="s">
        <v>1121</v>
      </c>
      <c r="H13" s="72">
        <v>0.21010000000000001</v>
      </c>
      <c r="I13" s="103">
        <v>0</v>
      </c>
    </row>
    <row r="14" spans="1:9" x14ac:dyDescent="0.2">
      <c r="A14" s="98">
        <v>11</v>
      </c>
      <c r="B14" s="99">
        <v>5.5171999999999999E-2</v>
      </c>
      <c r="C14" s="99">
        <v>6.5664E-2</v>
      </c>
      <c r="D14" s="100">
        <v>0.30719999999999997</v>
      </c>
      <c r="E14" s="101" t="s">
        <v>1339</v>
      </c>
    </row>
    <row r="15" spans="1:9" x14ac:dyDescent="0.2">
      <c r="A15" s="93">
        <v>12</v>
      </c>
      <c r="B15" s="94">
        <v>5.8219E-2</v>
      </c>
      <c r="C15" s="94">
        <v>6.7951999999999999E-2</v>
      </c>
      <c r="D15" s="95">
        <v>0.3417</v>
      </c>
      <c r="E15" s="96" t="s">
        <v>1339</v>
      </c>
    </row>
    <row r="16" spans="1:9" x14ac:dyDescent="0.2">
      <c r="A16" s="98">
        <v>13</v>
      </c>
      <c r="B16" s="99">
        <v>6.1267000000000002E-2</v>
      </c>
      <c r="C16" s="99">
        <v>7.0302000000000003E-2</v>
      </c>
      <c r="D16" s="100">
        <v>0.37359999999999999</v>
      </c>
      <c r="E16" s="101" t="s">
        <v>1339</v>
      </c>
    </row>
    <row r="17" spans="1:5" x14ac:dyDescent="0.2">
      <c r="A17" s="93">
        <v>14</v>
      </c>
      <c r="B17" s="94">
        <v>6.4313999999999996E-2</v>
      </c>
      <c r="C17" s="94">
        <v>7.2706999999999994E-2</v>
      </c>
      <c r="D17" s="95">
        <v>0.4032</v>
      </c>
      <c r="E17" s="96" t="s">
        <v>1339</v>
      </c>
    </row>
    <row r="18" spans="1:5" x14ac:dyDescent="0.2">
      <c r="A18" s="98">
        <v>15</v>
      </c>
      <c r="B18" s="99">
        <v>6.7362000000000005E-2</v>
      </c>
      <c r="C18" s="99">
        <v>7.5162000000000007E-2</v>
      </c>
      <c r="D18" s="100">
        <v>0.43059999999999998</v>
      </c>
      <c r="E18" s="101" t="s">
        <v>1339</v>
      </c>
    </row>
    <row r="19" spans="1:5" x14ac:dyDescent="0.2">
      <c r="A19" s="93">
        <v>16</v>
      </c>
      <c r="B19" s="94">
        <v>7.0408999999999999E-2</v>
      </c>
      <c r="C19" s="94">
        <v>7.7662999999999996E-2</v>
      </c>
      <c r="D19" s="95">
        <v>0.45590000000000003</v>
      </c>
      <c r="E19" s="96" t="s">
        <v>1339</v>
      </c>
    </row>
    <row r="20" spans="1:5" x14ac:dyDescent="0.2">
      <c r="A20" s="98">
        <v>17</v>
      </c>
      <c r="B20" s="99">
        <v>7.3456999999999995E-2</v>
      </c>
      <c r="C20" s="99">
        <v>8.0204999999999999E-2</v>
      </c>
      <c r="D20" s="100">
        <v>0.47949999999999998</v>
      </c>
      <c r="E20" s="101" t="s">
        <v>1339</v>
      </c>
    </row>
    <row r="21" spans="1:5" x14ac:dyDescent="0.2">
      <c r="A21" s="93">
        <v>18</v>
      </c>
      <c r="B21" s="94">
        <v>7.6504000000000003E-2</v>
      </c>
      <c r="C21" s="94">
        <v>8.2783999999999996E-2</v>
      </c>
      <c r="D21" s="95">
        <v>0.50139999999999996</v>
      </c>
      <c r="E21" s="96" t="s">
        <v>1339</v>
      </c>
    </row>
    <row r="22" spans="1:5" x14ac:dyDescent="0.2">
      <c r="A22" s="98">
        <v>19</v>
      </c>
      <c r="B22" s="99">
        <v>7.9550999999999997E-2</v>
      </c>
      <c r="C22" s="99">
        <v>8.5396E-2</v>
      </c>
      <c r="D22" s="100">
        <v>0.52170000000000005</v>
      </c>
      <c r="E22" s="101" t="s">
        <v>1339</v>
      </c>
    </row>
    <row r="23" spans="1:5" x14ac:dyDescent="0.2">
      <c r="A23" s="93">
        <v>20</v>
      </c>
      <c r="B23" s="94">
        <v>8.2599000000000006E-2</v>
      </c>
      <c r="C23" s="94">
        <v>8.8039999999999993E-2</v>
      </c>
      <c r="D23" s="95">
        <v>0.54059999999999997</v>
      </c>
      <c r="E23" s="96" t="s">
        <v>1339</v>
      </c>
    </row>
    <row r="24" spans="1:5" x14ac:dyDescent="0.2">
      <c r="A24" s="98">
        <v>21</v>
      </c>
      <c r="B24" s="99">
        <v>8.5646E-2</v>
      </c>
      <c r="C24" s="99">
        <v>9.0712000000000001E-2</v>
      </c>
      <c r="D24" s="100">
        <v>0.55830000000000002</v>
      </c>
      <c r="E24" s="101" t="s">
        <v>1339</v>
      </c>
    </row>
    <row r="25" spans="1:5" x14ac:dyDescent="0.2">
      <c r="A25" s="93">
        <v>22</v>
      </c>
      <c r="B25" s="94">
        <v>8.8693999999999995E-2</v>
      </c>
      <c r="C25" s="94">
        <v>9.3410000000000007E-2</v>
      </c>
      <c r="D25" s="95">
        <v>0.57479999999999998</v>
      </c>
      <c r="E25" s="96" t="s">
        <v>1339</v>
      </c>
    </row>
    <row r="26" spans="1:5" x14ac:dyDescent="0.2">
      <c r="A26" s="98">
        <v>23</v>
      </c>
      <c r="B26" s="99">
        <v>9.1741000000000003E-2</v>
      </c>
      <c r="C26" s="99">
        <v>9.6130999999999994E-2</v>
      </c>
      <c r="D26" s="100">
        <v>0.59019999999999995</v>
      </c>
      <c r="E26" s="101" t="s">
        <v>1339</v>
      </c>
    </row>
    <row r="27" spans="1:5" x14ac:dyDescent="0.2">
      <c r="A27" s="93">
        <v>24</v>
      </c>
      <c r="B27" s="94">
        <v>9.4787999999999997E-2</v>
      </c>
      <c r="C27" s="94">
        <v>9.8874000000000004E-2</v>
      </c>
      <c r="D27" s="95">
        <v>0.60470000000000002</v>
      </c>
      <c r="E27" s="96" t="s">
        <v>1339</v>
      </c>
    </row>
    <row r="28" spans="1:5" x14ac:dyDescent="0.2">
      <c r="A28" s="98">
        <v>25</v>
      </c>
      <c r="B28" s="99">
        <v>9.7836000000000006E-2</v>
      </c>
      <c r="C28" s="99">
        <v>0.10163700000000001</v>
      </c>
      <c r="D28" s="100">
        <v>0.61819999999999997</v>
      </c>
      <c r="E28" s="101" t="s">
        <v>1339</v>
      </c>
    </row>
    <row r="29" spans="1:5" x14ac:dyDescent="0.2">
      <c r="A29" s="93">
        <v>26</v>
      </c>
      <c r="B29" s="94">
        <v>0.100883</v>
      </c>
      <c r="C29" s="94">
        <v>0.104418</v>
      </c>
      <c r="D29" s="95">
        <v>0.63100000000000001</v>
      </c>
      <c r="E29" s="96" t="s">
        <v>1339</v>
      </c>
    </row>
    <row r="30" spans="1:5" x14ac:dyDescent="0.2">
      <c r="A30" s="98">
        <v>27</v>
      </c>
      <c r="B30" s="99">
        <v>0.103931</v>
      </c>
      <c r="C30" s="99">
        <v>0.10721700000000001</v>
      </c>
      <c r="D30" s="100">
        <v>0.64290000000000003</v>
      </c>
      <c r="E30" s="101" t="s">
        <v>1339</v>
      </c>
    </row>
    <row r="31" spans="1:5" x14ac:dyDescent="0.2">
      <c r="A31" s="93">
        <v>28</v>
      </c>
      <c r="B31" s="94">
        <v>0.106978</v>
      </c>
      <c r="C31" s="94">
        <v>0.11003</v>
      </c>
      <c r="D31" s="95">
        <v>0.6542</v>
      </c>
      <c r="E31" s="96" t="s">
        <v>1339</v>
      </c>
    </row>
    <row r="32" spans="1:5" x14ac:dyDescent="0.2">
      <c r="A32" s="98">
        <v>29</v>
      </c>
      <c r="B32" s="99">
        <v>0.110026</v>
      </c>
      <c r="C32" s="99">
        <v>0.112858</v>
      </c>
      <c r="D32" s="100">
        <v>0.66479999999999995</v>
      </c>
      <c r="E32" s="101" t="s">
        <v>1339</v>
      </c>
    </row>
    <row r="33" spans="1:5" x14ac:dyDescent="0.2">
      <c r="A33" s="93">
        <v>30</v>
      </c>
      <c r="B33" s="94">
        <v>0.11307300000000001</v>
      </c>
      <c r="C33" s="94">
        <v>0.1157</v>
      </c>
      <c r="D33" s="95">
        <v>0.67479999999999996</v>
      </c>
      <c r="E33" s="96" t="s">
        <v>1339</v>
      </c>
    </row>
    <row r="34" spans="1:5" x14ac:dyDescent="0.2">
      <c r="A34" s="98">
        <v>31</v>
      </c>
      <c r="B34" s="99">
        <v>0.11612</v>
      </c>
      <c r="C34" s="99">
        <v>0.11855400000000001</v>
      </c>
      <c r="D34" s="100">
        <v>0.68420000000000003</v>
      </c>
      <c r="E34" s="101" t="s">
        <v>1339</v>
      </c>
    </row>
    <row r="35" spans="1:5" x14ac:dyDescent="0.2">
      <c r="A35" s="93">
        <v>32</v>
      </c>
      <c r="B35" s="94">
        <v>0.119168</v>
      </c>
      <c r="C35" s="94">
        <v>0.12142</v>
      </c>
      <c r="D35" s="95">
        <v>0.69320000000000004</v>
      </c>
      <c r="E35" s="96" t="s">
        <v>1339</v>
      </c>
    </row>
    <row r="36" spans="1:5" x14ac:dyDescent="0.2">
      <c r="A36" s="98">
        <v>33</v>
      </c>
      <c r="B36" s="99">
        <v>0.122215</v>
      </c>
      <c r="C36" s="99">
        <v>0.124296</v>
      </c>
      <c r="D36" s="100">
        <v>0.70169999999999999</v>
      </c>
      <c r="E36" s="101" t="s">
        <v>1339</v>
      </c>
    </row>
    <row r="37" spans="1:5" x14ac:dyDescent="0.2">
      <c r="A37" s="93">
        <v>34</v>
      </c>
      <c r="B37" s="94">
        <v>0.12526300000000001</v>
      </c>
      <c r="C37" s="94">
        <v>0.12718199999999999</v>
      </c>
      <c r="D37" s="95">
        <v>0.7097</v>
      </c>
      <c r="E37" s="96" t="s">
        <v>1339</v>
      </c>
    </row>
    <row r="38" spans="1:5" x14ac:dyDescent="0.2">
      <c r="A38" s="98">
        <v>35</v>
      </c>
      <c r="B38" s="99">
        <v>0.12831000000000001</v>
      </c>
      <c r="C38" s="99">
        <v>0.130078</v>
      </c>
      <c r="D38" s="100">
        <v>0.71730000000000005</v>
      </c>
      <c r="E38" s="101" t="s">
        <v>1339</v>
      </c>
    </row>
    <row r="39" spans="1:5" x14ac:dyDescent="0.2">
      <c r="A39" s="93">
        <v>36</v>
      </c>
      <c r="B39" s="94">
        <v>0.131358</v>
      </c>
      <c r="C39" s="94">
        <v>0.13298199999999999</v>
      </c>
      <c r="D39" s="95">
        <v>0.72460000000000002</v>
      </c>
      <c r="E39" s="96" t="s">
        <v>1339</v>
      </c>
    </row>
    <row r="40" spans="1:5" x14ac:dyDescent="0.2">
      <c r="A40" s="98">
        <v>37</v>
      </c>
      <c r="B40" s="99">
        <v>0.134405</v>
      </c>
      <c r="C40" s="99">
        <v>0.13589499999999999</v>
      </c>
      <c r="D40" s="100">
        <v>0.73150000000000004</v>
      </c>
      <c r="E40" s="101" t="s">
        <v>1339</v>
      </c>
    </row>
    <row r="41" spans="1:5" x14ac:dyDescent="0.2">
      <c r="A41" s="93">
        <v>38</v>
      </c>
      <c r="B41" s="94">
        <v>0.13745199999999999</v>
      </c>
      <c r="C41" s="94">
        <v>0.13881499999999999</v>
      </c>
      <c r="D41" s="95">
        <v>0.73799999999999999</v>
      </c>
      <c r="E41" s="96" t="s">
        <v>1339</v>
      </c>
    </row>
    <row r="42" spans="1:5" x14ac:dyDescent="0.2">
      <c r="A42" s="98">
        <v>39</v>
      </c>
      <c r="B42" s="99">
        <v>0.14050000000000001</v>
      </c>
      <c r="C42" s="99">
        <v>0.14174300000000001</v>
      </c>
      <c r="D42" s="100">
        <v>0.74429999999999996</v>
      </c>
      <c r="E42" s="101" t="s">
        <v>1339</v>
      </c>
    </row>
    <row r="43" spans="1:5" x14ac:dyDescent="0.2">
      <c r="A43" s="93">
        <v>40</v>
      </c>
      <c r="B43" s="94">
        <v>0.14354700000000001</v>
      </c>
      <c r="C43" s="94">
        <v>0.144677</v>
      </c>
      <c r="D43" s="95">
        <v>0.75029999999999997</v>
      </c>
      <c r="E43" s="96" t="s">
        <v>1339</v>
      </c>
    </row>
    <row r="44" spans="1:5" x14ac:dyDescent="0.2">
      <c r="A44" s="98">
        <v>41</v>
      </c>
      <c r="B44" s="99">
        <v>0.146595</v>
      </c>
      <c r="C44" s="99">
        <v>0.147618</v>
      </c>
      <c r="D44" s="100">
        <v>0.75600000000000001</v>
      </c>
      <c r="E44" s="101" t="s">
        <v>1339</v>
      </c>
    </row>
    <row r="45" spans="1:5" x14ac:dyDescent="0.2">
      <c r="A45" s="93">
        <v>42</v>
      </c>
      <c r="B45" s="94">
        <v>0.149642</v>
      </c>
      <c r="C45" s="94">
        <v>0.150564</v>
      </c>
      <c r="D45" s="95">
        <v>0.76139999999999997</v>
      </c>
      <c r="E45" s="96" t="s">
        <v>1339</v>
      </c>
    </row>
    <row r="46" spans="1:5" x14ac:dyDescent="0.2">
      <c r="A46" s="98">
        <v>43</v>
      </c>
      <c r="B46" s="99">
        <v>0.15268899999999999</v>
      </c>
      <c r="C46" s="99">
        <v>0.15351600000000001</v>
      </c>
      <c r="D46" s="100">
        <v>0.76659999999999995</v>
      </c>
      <c r="E46" s="101" t="s">
        <v>1339</v>
      </c>
    </row>
    <row r="47" spans="1:5" x14ac:dyDescent="0.2">
      <c r="A47" s="93">
        <v>44</v>
      </c>
      <c r="B47" s="94">
        <v>0.15573699999999999</v>
      </c>
      <c r="C47" s="94">
        <v>0.156474</v>
      </c>
      <c r="D47" s="95">
        <v>0.77159999999999995</v>
      </c>
      <c r="E47" s="96" t="s">
        <v>1339</v>
      </c>
    </row>
    <row r="48" spans="1:5" x14ac:dyDescent="0.2">
      <c r="A48" s="98">
        <v>45</v>
      </c>
      <c r="B48" s="99">
        <v>0.15878400000000001</v>
      </c>
      <c r="C48" s="99">
        <v>0.15943599999999999</v>
      </c>
      <c r="D48" s="100">
        <v>0.77639999999999998</v>
      </c>
      <c r="E48" s="101" t="s">
        <v>1339</v>
      </c>
    </row>
    <row r="49" spans="1:5" x14ac:dyDescent="0.2">
      <c r="A49" s="93">
        <v>46</v>
      </c>
      <c r="B49" s="94">
        <v>0.161832</v>
      </c>
      <c r="C49" s="94">
        <v>0.16244</v>
      </c>
      <c r="D49" s="95">
        <v>0.78080000000000005</v>
      </c>
      <c r="E49" s="96" t="s">
        <v>1339</v>
      </c>
    </row>
    <row r="50" spans="1:5" x14ac:dyDescent="0.2">
      <c r="A50" s="98">
        <v>47</v>
      </c>
      <c r="B50" s="99">
        <v>0.164879</v>
      </c>
      <c r="C50" s="99">
        <v>0.16552500000000001</v>
      </c>
      <c r="D50" s="100">
        <v>0.78469999999999995</v>
      </c>
      <c r="E50" s="101" t="s">
        <v>1339</v>
      </c>
    </row>
    <row r="51" spans="1:5" x14ac:dyDescent="0.2">
      <c r="A51" s="93">
        <v>48</v>
      </c>
      <c r="B51" s="94">
        <v>0.16792699999999999</v>
      </c>
      <c r="C51" s="94">
        <v>0.168685</v>
      </c>
      <c r="D51" s="95">
        <v>0.78800000000000003</v>
      </c>
      <c r="E51" s="96" t="s">
        <v>1339</v>
      </c>
    </row>
    <row r="52" spans="1:5" x14ac:dyDescent="0.2">
      <c r="A52" s="98">
        <v>49</v>
      </c>
      <c r="B52" s="99">
        <v>0.17097399999999999</v>
      </c>
      <c r="C52" s="99">
        <v>0.17191600000000001</v>
      </c>
      <c r="D52" s="100">
        <v>0.79090000000000005</v>
      </c>
      <c r="E52" s="101" t="s">
        <v>1339</v>
      </c>
    </row>
    <row r="53" spans="1:5" x14ac:dyDescent="0.2">
      <c r="A53" s="93">
        <v>50</v>
      </c>
      <c r="B53" s="94">
        <v>0.17402100000000001</v>
      </c>
      <c r="C53" s="94">
        <v>0.17521600000000001</v>
      </c>
      <c r="D53" s="95">
        <v>0.79339999999999999</v>
      </c>
      <c r="E53" s="96" t="s">
        <v>1339</v>
      </c>
    </row>
    <row r="54" spans="1:5" x14ac:dyDescent="0.2">
      <c r="A54" s="98">
        <v>51</v>
      </c>
      <c r="B54" s="99">
        <v>0.177069</v>
      </c>
      <c r="C54" s="99">
        <v>0.17857899999999999</v>
      </c>
      <c r="D54" s="100">
        <v>0.79559999999999997</v>
      </c>
      <c r="E54" s="101" t="s">
        <v>1339</v>
      </c>
    </row>
    <row r="55" spans="1:5" x14ac:dyDescent="0.2">
      <c r="A55" s="93">
        <v>52</v>
      </c>
      <c r="B55" s="94">
        <v>0.180116</v>
      </c>
      <c r="C55" s="94">
        <v>0.182003</v>
      </c>
      <c r="D55" s="95">
        <v>0.79730000000000001</v>
      </c>
      <c r="E55" s="96" t="s">
        <v>1339</v>
      </c>
    </row>
    <row r="56" spans="1:5" x14ac:dyDescent="0.2">
      <c r="A56" s="98">
        <v>53</v>
      </c>
      <c r="B56" s="99">
        <v>0.18316399999999999</v>
      </c>
      <c r="C56" s="99">
        <v>0.18551599999999999</v>
      </c>
      <c r="D56" s="100">
        <v>0.79869999999999997</v>
      </c>
      <c r="E56" s="101" t="s">
        <v>1339</v>
      </c>
    </row>
    <row r="57" spans="1:5" x14ac:dyDescent="0.2">
      <c r="A57" s="93">
        <v>54</v>
      </c>
      <c r="B57" s="94">
        <v>0.18621099999999999</v>
      </c>
      <c r="C57" s="94">
        <v>0.18924199999999999</v>
      </c>
      <c r="D57" s="95">
        <v>0.79900000000000004</v>
      </c>
      <c r="E57" s="96" t="s">
        <v>1339</v>
      </c>
    </row>
    <row r="58" spans="1:5" x14ac:dyDescent="0.2">
      <c r="A58" s="98">
        <v>55</v>
      </c>
      <c r="B58" s="99">
        <v>0.18925800000000001</v>
      </c>
      <c r="C58" s="99">
        <v>0.193185</v>
      </c>
      <c r="D58" s="100">
        <v>0.79849999999999999</v>
      </c>
      <c r="E58" s="101" t="s">
        <v>1339</v>
      </c>
    </row>
    <row r="59" spans="1:5" x14ac:dyDescent="0.2">
      <c r="A59" s="93">
        <v>56</v>
      </c>
      <c r="B59" s="94">
        <v>0.192306</v>
      </c>
      <c r="C59" s="94">
        <v>0.19733000000000001</v>
      </c>
      <c r="D59" s="95">
        <v>0.79720000000000002</v>
      </c>
      <c r="E59" s="96" t="s">
        <v>1339</v>
      </c>
    </row>
    <row r="60" spans="1:5" x14ac:dyDescent="0.2">
      <c r="A60" s="98">
        <v>57</v>
      </c>
      <c r="B60" s="99">
        <v>0.195353</v>
      </c>
      <c r="C60" s="99">
        <v>0.20166500000000001</v>
      </c>
      <c r="D60" s="100">
        <v>0.79510000000000003</v>
      </c>
      <c r="E60" s="101" t="s">
        <v>1339</v>
      </c>
    </row>
    <row r="61" spans="1:5" x14ac:dyDescent="0.2">
      <c r="A61" s="93">
        <v>58</v>
      </c>
      <c r="B61" s="94">
        <v>0.19840099999999999</v>
      </c>
      <c r="C61" s="94">
        <v>0.206178</v>
      </c>
      <c r="D61" s="95">
        <v>0.79249999999999998</v>
      </c>
      <c r="E61" s="96" t="s">
        <v>1339</v>
      </c>
    </row>
    <row r="62" spans="1:5" x14ac:dyDescent="0.2">
      <c r="A62" s="98">
        <v>59</v>
      </c>
      <c r="B62" s="99">
        <v>0.20144799999999999</v>
      </c>
      <c r="C62" s="99">
        <v>0.21085899999999999</v>
      </c>
      <c r="D62" s="100">
        <v>0.78939999999999999</v>
      </c>
      <c r="E62" s="101" t="s">
        <v>1339</v>
      </c>
    </row>
    <row r="63" spans="1:5" x14ac:dyDescent="0.2">
      <c r="A63" s="93">
        <v>60</v>
      </c>
      <c r="B63" s="94">
        <v>0.20449600000000001</v>
      </c>
      <c r="C63" s="94">
        <v>0.215695</v>
      </c>
      <c r="D63" s="95">
        <v>0.78580000000000005</v>
      </c>
      <c r="E63" s="96" t="s">
        <v>1339</v>
      </c>
    </row>
    <row r="64" spans="1:5" x14ac:dyDescent="0.2">
      <c r="A64" s="98">
        <v>61</v>
      </c>
      <c r="B64" s="99">
        <v>0.20754300000000001</v>
      </c>
      <c r="C64" s="99">
        <v>0.22067600000000001</v>
      </c>
      <c r="D64" s="100">
        <v>0.78190000000000004</v>
      </c>
      <c r="E64" s="101" t="s">
        <v>1339</v>
      </c>
    </row>
    <row r="65" spans="1:5" x14ac:dyDescent="0.2">
      <c r="A65" s="93">
        <v>62</v>
      </c>
      <c r="B65" s="94">
        <v>0.21059</v>
      </c>
      <c r="C65" s="94">
        <v>0.22579399999999999</v>
      </c>
      <c r="D65" s="95">
        <v>0.77769999999999995</v>
      </c>
      <c r="E65" s="96" t="s">
        <v>1339</v>
      </c>
    </row>
    <row r="66" spans="1:5" x14ac:dyDescent="0.2">
      <c r="A66" s="98">
        <v>63</v>
      </c>
      <c r="B66" s="99">
        <v>0.21363799999999999</v>
      </c>
      <c r="C66" s="99">
        <v>0.23103899999999999</v>
      </c>
      <c r="D66" s="100">
        <v>0.7732</v>
      </c>
      <c r="E66" s="101" t="s">
        <v>1339</v>
      </c>
    </row>
    <row r="67" spans="1:5" x14ac:dyDescent="0.2">
      <c r="A67" s="93">
        <v>64</v>
      </c>
      <c r="B67" s="94">
        <v>0.21668499999999999</v>
      </c>
      <c r="C67" s="94">
        <v>0.236402</v>
      </c>
      <c r="D67" s="95">
        <v>0.76849999999999996</v>
      </c>
      <c r="E67" s="96" t="s">
        <v>1339</v>
      </c>
    </row>
    <row r="68" spans="1:5" x14ac:dyDescent="0.2">
      <c r="A68" s="98">
        <v>65</v>
      </c>
      <c r="B68" s="99">
        <v>0.21973300000000001</v>
      </c>
      <c r="C68" s="99">
        <v>0.24187500000000001</v>
      </c>
      <c r="D68" s="100">
        <v>0.76380000000000003</v>
      </c>
      <c r="E68" s="101" t="s">
        <v>1339</v>
      </c>
    </row>
    <row r="69" spans="1:5" x14ac:dyDescent="0.2">
      <c r="A69" s="93">
        <v>66</v>
      </c>
      <c r="B69" s="94">
        <v>0.22278000000000001</v>
      </c>
      <c r="C69" s="94">
        <v>0.24745200000000001</v>
      </c>
      <c r="D69" s="95">
        <v>0.75890000000000002</v>
      </c>
      <c r="E69" s="96" t="s">
        <v>1339</v>
      </c>
    </row>
    <row r="70" spans="1:5" x14ac:dyDescent="0.2">
      <c r="A70" s="98">
        <v>67</v>
      </c>
      <c r="B70" s="99">
        <v>0.225828</v>
      </c>
      <c r="C70" s="99">
        <v>0.25312600000000002</v>
      </c>
      <c r="D70" s="100">
        <v>0.75390000000000001</v>
      </c>
      <c r="E70" s="101" t="s">
        <v>1339</v>
      </c>
    </row>
    <row r="71" spans="1:5" x14ac:dyDescent="0.2">
      <c r="A71" s="93">
        <v>68</v>
      </c>
      <c r="B71" s="94">
        <v>0.228875</v>
      </c>
      <c r="C71" s="94">
        <v>0.25889000000000001</v>
      </c>
      <c r="D71" s="95">
        <v>0.74890000000000001</v>
      </c>
      <c r="E71" s="96" t="s">
        <v>1339</v>
      </c>
    </row>
    <row r="72" spans="1:5" x14ac:dyDescent="0.2">
      <c r="A72" s="98">
        <v>69</v>
      </c>
      <c r="B72" s="99">
        <v>0.23192199999999999</v>
      </c>
      <c r="C72" s="99">
        <v>0.264737</v>
      </c>
      <c r="D72" s="100">
        <v>0.74380000000000002</v>
      </c>
      <c r="E72" s="101" t="s">
        <v>1339</v>
      </c>
    </row>
    <row r="73" spans="1:5" x14ac:dyDescent="0.2">
      <c r="A73" s="93">
        <v>70</v>
      </c>
      <c r="B73" s="94">
        <v>0.23497000000000001</v>
      </c>
      <c r="C73" s="94">
        <v>0.27066400000000002</v>
      </c>
      <c r="D73" s="95">
        <v>0.73880000000000001</v>
      </c>
      <c r="E73" s="96" t="s">
        <v>1339</v>
      </c>
    </row>
    <row r="74" spans="1:5" x14ac:dyDescent="0.2">
      <c r="A74" s="98">
        <v>71</v>
      </c>
      <c r="B74" s="99">
        <v>0.23801700000000001</v>
      </c>
      <c r="C74" s="99">
        <v>0.27666400000000002</v>
      </c>
      <c r="D74" s="100">
        <v>0.73380000000000001</v>
      </c>
      <c r="E74" s="101" t="s">
        <v>1339</v>
      </c>
    </row>
    <row r="75" spans="1:5" x14ac:dyDescent="0.2">
      <c r="A75" s="93">
        <v>72</v>
      </c>
      <c r="B75" s="94">
        <v>0.241065</v>
      </c>
      <c r="C75" s="94">
        <v>0.28273399999999999</v>
      </c>
      <c r="D75" s="95">
        <v>0.7288</v>
      </c>
      <c r="E75" s="96" t="s">
        <v>1339</v>
      </c>
    </row>
    <row r="76" spans="1:5" x14ac:dyDescent="0.2">
      <c r="A76" s="98">
        <v>73</v>
      </c>
      <c r="B76" s="99">
        <v>0.244112</v>
      </c>
      <c r="C76" s="99">
        <v>0.28886800000000001</v>
      </c>
      <c r="D76" s="100">
        <v>0.72389999999999999</v>
      </c>
      <c r="E76" s="101" t="s">
        <v>1339</v>
      </c>
    </row>
    <row r="77" spans="1:5" x14ac:dyDescent="0.2">
      <c r="A77" s="93">
        <v>74</v>
      </c>
      <c r="B77" s="94">
        <v>0.24715899999999999</v>
      </c>
      <c r="C77" s="94">
        <v>0.29506199999999999</v>
      </c>
      <c r="D77" s="95">
        <v>0.71899999999999997</v>
      </c>
      <c r="E77" s="96" t="s">
        <v>1339</v>
      </c>
    </row>
    <row r="78" spans="1:5" x14ac:dyDescent="0.2">
      <c r="A78" s="98">
        <v>75</v>
      </c>
      <c r="B78" s="99">
        <v>0.25020700000000001</v>
      </c>
      <c r="C78" s="99">
        <v>0.30131400000000003</v>
      </c>
      <c r="D78" s="100">
        <v>0.71419999999999995</v>
      </c>
      <c r="E78" s="101" t="s">
        <v>1339</v>
      </c>
    </row>
    <row r="79" spans="1:5" x14ac:dyDescent="0.2">
      <c r="A79" s="93">
        <v>76</v>
      </c>
      <c r="B79" s="94">
        <v>0.25325399999999998</v>
      </c>
      <c r="C79" s="94">
        <v>0.30761899999999998</v>
      </c>
      <c r="D79" s="95">
        <v>0.70950000000000002</v>
      </c>
      <c r="E79" s="96" t="s">
        <v>1339</v>
      </c>
    </row>
    <row r="80" spans="1:5" x14ac:dyDescent="0.2">
      <c r="A80" s="98">
        <v>77</v>
      </c>
      <c r="B80" s="99">
        <v>0.25630199999999997</v>
      </c>
      <c r="C80" s="99">
        <v>0.31397399999999998</v>
      </c>
      <c r="D80" s="100">
        <v>0.70479999999999998</v>
      </c>
      <c r="E80" s="101" t="s">
        <v>1339</v>
      </c>
    </row>
    <row r="81" spans="1:5" x14ac:dyDescent="0.2">
      <c r="A81" s="93">
        <v>78</v>
      </c>
      <c r="B81" s="94">
        <v>0.259349</v>
      </c>
      <c r="C81" s="94">
        <v>0.32037700000000002</v>
      </c>
      <c r="D81" s="95">
        <v>0.70030000000000003</v>
      </c>
      <c r="E81" s="96" t="s">
        <v>1339</v>
      </c>
    </row>
    <row r="82" spans="1:5" x14ac:dyDescent="0.2">
      <c r="A82" s="98">
        <v>79</v>
      </c>
      <c r="B82" s="99">
        <v>0.26239699999999999</v>
      </c>
      <c r="C82" s="99">
        <v>0.32682299999999997</v>
      </c>
      <c r="D82" s="100">
        <v>0.69579999999999997</v>
      </c>
      <c r="E82" s="101" t="s">
        <v>1339</v>
      </c>
    </row>
    <row r="83" spans="1:5" x14ac:dyDescent="0.2">
      <c r="A83" s="93">
        <v>80</v>
      </c>
      <c r="B83" s="94">
        <v>0.26544400000000001</v>
      </c>
      <c r="C83" s="94">
        <v>0.333312</v>
      </c>
      <c r="D83" s="95">
        <v>0.69140000000000001</v>
      </c>
      <c r="E83" s="96" t="s">
        <v>1339</v>
      </c>
    </row>
  </sheetData>
  <mergeCells count="2">
    <mergeCell ref="A1:F1"/>
    <mergeCell ref="A2:F2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8B727-C1BE-4434-84E7-9E5D3BB49D2D}">
  <sheetPr codeName="Sheet17"/>
  <dimension ref="A1:K178"/>
  <sheetViews>
    <sheetView workbookViewId="0"/>
  </sheetViews>
  <sheetFormatPr baseColWidth="10" defaultColWidth="8.6640625" defaultRowHeight="15" x14ac:dyDescent="0.2"/>
  <cols>
    <col min="1" max="2" width="13" style="51" customWidth="1"/>
    <col min="3" max="3" width="8.6640625" style="51"/>
    <col min="4" max="5" width="13" style="51" customWidth="1"/>
    <col min="6" max="6" width="8.6640625" style="51"/>
    <col min="7" max="8" width="13" style="51" customWidth="1"/>
    <col min="9" max="9" width="8.6640625" style="51"/>
    <col min="10" max="11" width="13" style="51" customWidth="1"/>
    <col min="12" max="16384" width="8.6640625" style="51"/>
  </cols>
  <sheetData>
    <row r="1" spans="1:11" ht="16" customHeight="1" x14ac:dyDescent="0.2">
      <c r="A1" s="127" t="s">
        <v>1343</v>
      </c>
      <c r="B1"/>
      <c r="C1"/>
      <c r="D1"/>
      <c r="E1"/>
      <c r="F1"/>
      <c r="G1"/>
      <c r="H1"/>
      <c r="I1"/>
      <c r="J1"/>
      <c r="K1"/>
    </row>
    <row r="2" spans="1:11" x14ac:dyDescent="0.2">
      <c r="A2" s="128" t="s">
        <v>1344</v>
      </c>
      <c r="B2" s="128" t="s">
        <v>1345</v>
      </c>
      <c r="C2"/>
      <c r="D2" s="128" t="s">
        <v>1346</v>
      </c>
      <c r="E2" s="128" t="s">
        <v>1347</v>
      </c>
      <c r="F2"/>
      <c r="G2" s="128" t="s">
        <v>1348</v>
      </c>
      <c r="H2" s="128" t="s">
        <v>1349</v>
      </c>
      <c r="I2"/>
      <c r="J2" s="128" t="s">
        <v>1350</v>
      </c>
      <c r="K2" s="128" t="s">
        <v>1351</v>
      </c>
    </row>
    <row r="3" spans="1:11" x14ac:dyDescent="0.2">
      <c r="A3">
        <v>3.6054999999999997E-2</v>
      </c>
      <c r="B3">
        <v>3.2759999999999997E-2</v>
      </c>
      <c r="C3"/>
      <c r="D3">
        <v>4.7344999999999998E-2</v>
      </c>
      <c r="E3">
        <v>2.4698000000000001E-2</v>
      </c>
      <c r="F3"/>
      <c r="G3">
        <v>4.8122999999999999E-2</v>
      </c>
      <c r="H3">
        <v>2.3338000000000001E-2</v>
      </c>
      <c r="I3"/>
      <c r="J3">
        <v>3.6054999999999997E-2</v>
      </c>
      <c r="K3">
        <v>3.2759999999999997E-2</v>
      </c>
    </row>
    <row r="4" spans="1:11" x14ac:dyDescent="0.2">
      <c r="A4">
        <v>3.6072E-2</v>
      </c>
      <c r="B4">
        <v>3.5645999999999997E-2</v>
      </c>
      <c r="C4"/>
      <c r="D4">
        <v>4.8495000000000003E-2</v>
      </c>
      <c r="E4">
        <v>2.7744999999999999E-2</v>
      </c>
      <c r="F4"/>
      <c r="G4">
        <v>0.333312</v>
      </c>
      <c r="H4">
        <v>0.26544400000000001</v>
      </c>
      <c r="I4"/>
      <c r="J4">
        <v>4.7344999999999998E-2</v>
      </c>
      <c r="K4">
        <v>2.4698000000000001E-2</v>
      </c>
    </row>
    <row r="5" spans="1:11" x14ac:dyDescent="0.2">
      <c r="A5">
        <v>3.6122000000000001E-2</v>
      </c>
      <c r="B5">
        <v>3.8532999999999998E-2</v>
      </c>
      <c r="C5"/>
      <c r="D5">
        <v>5.0020000000000002E-2</v>
      </c>
      <c r="E5">
        <v>3.0793000000000001E-2</v>
      </c>
      <c r="F5"/>
      <c r="G5">
        <v>7.7185000000000004E-2</v>
      </c>
      <c r="H5">
        <v>-6.3792000000000001E-2</v>
      </c>
      <c r="I5"/>
      <c r="J5">
        <v>0.18888099999999999</v>
      </c>
      <c r="K5">
        <v>0.185923</v>
      </c>
    </row>
    <row r="6" spans="1:11" x14ac:dyDescent="0.2">
      <c r="A6">
        <v>3.6207000000000003E-2</v>
      </c>
      <c r="B6">
        <v>4.1418999999999997E-2</v>
      </c>
      <c r="C6"/>
      <c r="D6">
        <v>5.1664000000000002E-2</v>
      </c>
      <c r="E6">
        <v>3.3840000000000002E-2</v>
      </c>
      <c r="F6"/>
      <c r="G6">
        <v>0.18478800000000001</v>
      </c>
      <c r="H6">
        <v>6.8536E-2</v>
      </c>
      <c r="I6"/>
      <c r="J6"/>
      <c r="K6"/>
    </row>
    <row r="7" spans="1:11" x14ac:dyDescent="0.2">
      <c r="A7">
        <v>3.6324000000000002E-2</v>
      </c>
      <c r="B7">
        <v>4.4305999999999998E-2</v>
      </c>
      <c r="C7"/>
      <c r="D7">
        <v>5.3414000000000003E-2</v>
      </c>
      <c r="E7">
        <v>3.6887999999999997E-2</v>
      </c>
      <c r="F7"/>
      <c r="G7">
        <v>0.13111400000000001</v>
      </c>
      <c r="H7">
        <v>7.5042999999999999E-2</v>
      </c>
      <c r="I7"/>
      <c r="J7"/>
      <c r="K7"/>
    </row>
    <row r="8" spans="1:11" x14ac:dyDescent="0.2">
      <c r="A8">
        <v>3.6475E-2</v>
      </c>
      <c r="B8">
        <v>4.7192999999999999E-2</v>
      </c>
      <c r="C8"/>
      <c r="D8">
        <v>5.5258000000000002E-2</v>
      </c>
      <c r="E8">
        <v>3.9934999999999998E-2</v>
      </c>
      <c r="F8"/>
      <c r="G8">
        <v>0.13878799999999999</v>
      </c>
      <c r="H8">
        <v>7.6662999999999995E-2</v>
      </c>
      <c r="I8"/>
      <c r="J8"/>
      <c r="K8"/>
    </row>
    <row r="9" spans="1:11" x14ac:dyDescent="0.2">
      <c r="A9">
        <v>3.6658000000000003E-2</v>
      </c>
      <c r="B9">
        <v>5.0078999999999999E-2</v>
      </c>
      <c r="C9"/>
      <c r="D9">
        <v>5.7188999999999997E-2</v>
      </c>
      <c r="E9">
        <v>4.2981999999999999E-2</v>
      </c>
      <c r="F9"/>
      <c r="G9">
        <v>0.196904</v>
      </c>
      <c r="H9">
        <v>4.9612000000000003E-2</v>
      </c>
      <c r="I9"/>
      <c r="J9"/>
      <c r="K9"/>
    </row>
    <row r="10" spans="1:11" x14ac:dyDescent="0.2">
      <c r="A10">
        <v>3.6873000000000003E-2</v>
      </c>
      <c r="B10">
        <v>5.2965999999999999E-2</v>
      </c>
      <c r="C10"/>
      <c r="D10">
        <v>5.9200999999999997E-2</v>
      </c>
      <c r="E10">
        <v>4.6030000000000001E-2</v>
      </c>
      <c r="F10"/>
      <c r="G10">
        <v>0.16289400000000001</v>
      </c>
      <c r="H10">
        <v>0.152396</v>
      </c>
      <c r="I10"/>
      <c r="J10"/>
      <c r="K10"/>
    </row>
    <row r="11" spans="1:11" x14ac:dyDescent="0.2">
      <c r="A11">
        <v>3.712E-2</v>
      </c>
      <c r="B11">
        <v>5.5851999999999999E-2</v>
      </c>
      <c r="C11"/>
      <c r="D11">
        <v>6.1289000000000003E-2</v>
      </c>
      <c r="E11">
        <v>4.9077000000000003E-2</v>
      </c>
      <c r="F11"/>
      <c r="G11">
        <v>0.17049600000000001</v>
      </c>
      <c r="H11">
        <v>-8.6768999999999999E-2</v>
      </c>
      <c r="I11"/>
      <c r="J11"/>
      <c r="K11"/>
    </row>
    <row r="12" spans="1:11" x14ac:dyDescent="0.2">
      <c r="A12">
        <v>3.7397E-2</v>
      </c>
      <c r="B12">
        <v>5.8739E-2</v>
      </c>
      <c r="C12"/>
      <c r="D12">
        <v>6.3444E-2</v>
      </c>
      <c r="E12">
        <v>5.2124999999999998E-2</v>
      </c>
      <c r="F12"/>
      <c r="G12">
        <v>5.7336999999999999E-2</v>
      </c>
      <c r="H12">
        <v>2.9808999999999999E-2</v>
      </c>
      <c r="I12"/>
      <c r="J12"/>
      <c r="K12"/>
    </row>
    <row r="13" spans="1:11" x14ac:dyDescent="0.2">
      <c r="A13">
        <v>3.7705000000000002E-2</v>
      </c>
      <c r="B13">
        <v>6.1626E-2</v>
      </c>
      <c r="C13"/>
      <c r="D13">
        <v>6.5664E-2</v>
      </c>
      <c r="E13">
        <v>5.5171999999999999E-2</v>
      </c>
      <c r="F13"/>
      <c r="G13"/>
      <c r="H13"/>
      <c r="I13"/>
      <c r="J13"/>
      <c r="K13"/>
    </row>
    <row r="14" spans="1:11" x14ac:dyDescent="0.2">
      <c r="A14">
        <v>3.8043E-2</v>
      </c>
      <c r="B14">
        <v>6.4512E-2</v>
      </c>
      <c r="C14"/>
      <c r="D14">
        <v>6.7951999999999999E-2</v>
      </c>
      <c r="E14">
        <v>5.8219E-2</v>
      </c>
      <c r="F14"/>
      <c r="G14"/>
      <c r="H14"/>
      <c r="I14"/>
      <c r="J14"/>
      <c r="K14"/>
    </row>
    <row r="15" spans="1:11" x14ac:dyDescent="0.2">
      <c r="A15">
        <v>3.8408999999999999E-2</v>
      </c>
      <c r="B15">
        <v>6.7399000000000001E-2</v>
      </c>
      <c r="C15"/>
      <c r="D15">
        <v>7.0302000000000003E-2</v>
      </c>
      <c r="E15">
        <v>6.1267000000000002E-2</v>
      </c>
      <c r="F15"/>
      <c r="G15"/>
      <c r="H15"/>
      <c r="I15"/>
      <c r="J15"/>
      <c r="K15"/>
    </row>
    <row r="16" spans="1:11" x14ac:dyDescent="0.2">
      <c r="A16">
        <v>3.8802999999999997E-2</v>
      </c>
      <c r="B16">
        <v>7.0285E-2</v>
      </c>
      <c r="C16"/>
      <c r="D16">
        <v>7.2706999999999994E-2</v>
      </c>
      <c r="E16">
        <v>6.4313999999999996E-2</v>
      </c>
      <c r="F16"/>
      <c r="G16"/>
      <c r="H16"/>
      <c r="I16"/>
      <c r="J16"/>
      <c r="K16"/>
    </row>
    <row r="17" spans="1:11" x14ac:dyDescent="0.2">
      <c r="A17">
        <v>3.9225000000000003E-2</v>
      </c>
      <c r="B17">
        <v>7.3172000000000001E-2</v>
      </c>
      <c r="C17"/>
      <c r="D17">
        <v>7.5162000000000007E-2</v>
      </c>
      <c r="E17">
        <v>6.7362000000000005E-2</v>
      </c>
      <c r="F17"/>
      <c r="G17"/>
      <c r="H17"/>
      <c r="I17"/>
      <c r="J17"/>
      <c r="K17"/>
    </row>
    <row r="18" spans="1:11" x14ac:dyDescent="0.2">
      <c r="A18">
        <v>3.9671999999999999E-2</v>
      </c>
      <c r="B18">
        <v>7.6058000000000001E-2</v>
      </c>
      <c r="C18"/>
      <c r="D18">
        <v>7.7662999999999996E-2</v>
      </c>
      <c r="E18">
        <v>7.0408999999999999E-2</v>
      </c>
      <c r="F18"/>
      <c r="G18"/>
      <c r="H18"/>
      <c r="I18"/>
      <c r="J18"/>
      <c r="K18"/>
    </row>
    <row r="19" spans="1:11" x14ac:dyDescent="0.2">
      <c r="A19">
        <v>4.0145E-2</v>
      </c>
      <c r="B19">
        <v>7.8945000000000001E-2</v>
      </c>
      <c r="C19">
        <v>0</v>
      </c>
      <c r="D19">
        <v>8.0204999999999999E-2</v>
      </c>
      <c r="E19">
        <v>7.3456999999999995E-2</v>
      </c>
      <c r="F19"/>
      <c r="G19"/>
      <c r="H19"/>
      <c r="I19"/>
      <c r="J19"/>
      <c r="K19"/>
    </row>
    <row r="20" spans="1:11" x14ac:dyDescent="0.2">
      <c r="A20">
        <v>4.0641999999999998E-2</v>
      </c>
      <c r="B20">
        <v>8.1832000000000002E-2</v>
      </c>
      <c r="C20">
        <v>0</v>
      </c>
      <c r="D20">
        <v>8.2783999999999996E-2</v>
      </c>
      <c r="E20">
        <v>7.6504000000000003E-2</v>
      </c>
      <c r="F20"/>
      <c r="G20"/>
      <c r="H20"/>
      <c r="I20"/>
      <c r="J20"/>
      <c r="K20"/>
    </row>
    <row r="21" spans="1:11" x14ac:dyDescent="0.2">
      <c r="A21">
        <v>4.1162999999999998E-2</v>
      </c>
      <c r="B21">
        <v>8.4718000000000002E-2</v>
      </c>
      <c r="C21">
        <v>0</v>
      </c>
      <c r="D21">
        <v>8.5396E-2</v>
      </c>
      <c r="E21">
        <v>7.9550999999999997E-2</v>
      </c>
      <c r="F21"/>
      <c r="G21"/>
      <c r="H21"/>
      <c r="I21"/>
      <c r="J21"/>
      <c r="K21"/>
    </row>
    <row r="22" spans="1:11" x14ac:dyDescent="0.2">
      <c r="A22">
        <v>4.1707000000000001E-2</v>
      </c>
      <c r="B22">
        <v>8.7605000000000002E-2</v>
      </c>
      <c r="C22">
        <v>0</v>
      </c>
      <c r="D22">
        <v>8.8039999999999993E-2</v>
      </c>
      <c r="E22">
        <v>8.2599000000000006E-2</v>
      </c>
      <c r="F22"/>
      <c r="G22"/>
      <c r="H22"/>
      <c r="I22"/>
      <c r="J22"/>
      <c r="K22"/>
    </row>
    <row r="23" spans="1:11" x14ac:dyDescent="0.2">
      <c r="A23">
        <v>4.2271999999999997E-2</v>
      </c>
      <c r="B23">
        <v>9.0491000000000002E-2</v>
      </c>
      <c r="C23">
        <v>0</v>
      </c>
      <c r="D23">
        <v>9.0712000000000001E-2</v>
      </c>
      <c r="E23">
        <v>8.5646E-2</v>
      </c>
      <c r="F23"/>
      <c r="G23"/>
      <c r="H23"/>
      <c r="I23"/>
      <c r="J23"/>
      <c r="K23"/>
    </row>
    <row r="24" spans="1:11" x14ac:dyDescent="0.2">
      <c r="A24">
        <v>4.2858E-2</v>
      </c>
      <c r="B24">
        <v>9.3378000000000003E-2</v>
      </c>
      <c r="C24">
        <v>0</v>
      </c>
      <c r="D24">
        <v>9.3410000000000007E-2</v>
      </c>
      <c r="E24">
        <v>8.8693999999999995E-2</v>
      </c>
      <c r="F24"/>
      <c r="G24"/>
      <c r="H24"/>
      <c r="I24"/>
      <c r="J24"/>
      <c r="K24"/>
    </row>
    <row r="25" spans="1:11" x14ac:dyDescent="0.2">
      <c r="A25">
        <v>4.3464999999999997E-2</v>
      </c>
      <c r="B25">
        <v>9.6265000000000003E-2</v>
      </c>
      <c r="C25">
        <v>0</v>
      </c>
      <c r="D25">
        <v>9.6130999999999994E-2</v>
      </c>
      <c r="E25">
        <v>9.1741000000000003E-2</v>
      </c>
      <c r="F25"/>
      <c r="G25"/>
      <c r="H25"/>
      <c r="I25"/>
      <c r="J25"/>
      <c r="K25"/>
    </row>
    <row r="26" spans="1:11" x14ac:dyDescent="0.2">
      <c r="A26">
        <v>4.4089999999999997E-2</v>
      </c>
      <c r="B26">
        <v>9.9151000000000003E-2</v>
      </c>
      <c r="C26">
        <v>0</v>
      </c>
      <c r="D26">
        <v>9.8874000000000004E-2</v>
      </c>
      <c r="E26">
        <v>9.4787999999999997E-2</v>
      </c>
      <c r="F26"/>
      <c r="G26"/>
      <c r="H26"/>
      <c r="I26"/>
      <c r="J26"/>
      <c r="K26"/>
    </row>
    <row r="27" spans="1:11" x14ac:dyDescent="0.2">
      <c r="A27">
        <v>4.4734999999999997E-2</v>
      </c>
      <c r="B27">
        <v>0.102038</v>
      </c>
      <c r="C27">
        <v>0</v>
      </c>
      <c r="D27">
        <v>0.10163700000000001</v>
      </c>
      <c r="E27">
        <v>9.7836000000000006E-2</v>
      </c>
      <c r="F27"/>
      <c r="G27"/>
      <c r="H27"/>
      <c r="I27"/>
      <c r="J27"/>
      <c r="K27"/>
    </row>
    <row r="28" spans="1:11" x14ac:dyDescent="0.2">
      <c r="A28">
        <v>4.5395999999999999E-2</v>
      </c>
      <c r="B28">
        <v>0.104924</v>
      </c>
      <c r="C28">
        <v>0</v>
      </c>
      <c r="D28">
        <v>0.104418</v>
      </c>
      <c r="E28">
        <v>0.100883</v>
      </c>
      <c r="F28"/>
      <c r="G28"/>
      <c r="H28"/>
      <c r="I28"/>
      <c r="J28"/>
      <c r="K28"/>
    </row>
    <row r="29" spans="1:11" x14ac:dyDescent="0.2">
      <c r="A29">
        <v>4.6074999999999998E-2</v>
      </c>
      <c r="B29">
        <v>0.107811</v>
      </c>
      <c r="C29"/>
      <c r="D29">
        <v>0.10721700000000001</v>
      </c>
      <c r="E29">
        <v>0.103931</v>
      </c>
      <c r="F29"/>
      <c r="G29"/>
      <c r="H29"/>
      <c r="I29"/>
      <c r="J29"/>
      <c r="K29"/>
    </row>
    <row r="30" spans="1:11" x14ac:dyDescent="0.2">
      <c r="A30">
        <v>4.6769999999999999E-2</v>
      </c>
      <c r="B30">
        <v>0.110698</v>
      </c>
      <c r="C30"/>
      <c r="D30">
        <v>0.11003</v>
      </c>
      <c r="E30">
        <v>0.106978</v>
      </c>
      <c r="F30"/>
      <c r="G30"/>
      <c r="H30"/>
      <c r="I30"/>
      <c r="J30"/>
      <c r="K30"/>
    </row>
    <row r="31" spans="1:11" x14ac:dyDescent="0.2">
      <c r="A31">
        <v>4.7480000000000001E-2</v>
      </c>
      <c r="B31">
        <v>0.113584</v>
      </c>
      <c r="C31"/>
      <c r="D31">
        <v>0.112858</v>
      </c>
      <c r="E31">
        <v>0.110026</v>
      </c>
      <c r="F31"/>
      <c r="G31"/>
      <c r="H31"/>
      <c r="I31"/>
      <c r="J31"/>
      <c r="K31"/>
    </row>
    <row r="32" spans="1:11" x14ac:dyDescent="0.2">
      <c r="A32">
        <v>4.8205999999999999E-2</v>
      </c>
      <c r="B32">
        <v>0.11647100000000001</v>
      </c>
      <c r="C32"/>
      <c r="D32">
        <v>0.1157</v>
      </c>
      <c r="E32">
        <v>0.11307300000000001</v>
      </c>
      <c r="F32"/>
      <c r="G32"/>
      <c r="H32"/>
      <c r="I32"/>
      <c r="J32"/>
      <c r="K32"/>
    </row>
    <row r="33" spans="1:11" x14ac:dyDescent="0.2">
      <c r="A33">
        <v>4.8945000000000002E-2</v>
      </c>
      <c r="B33">
        <v>0.119357</v>
      </c>
      <c r="C33"/>
      <c r="D33">
        <v>0.11855400000000001</v>
      </c>
      <c r="E33">
        <v>0.11612</v>
      </c>
      <c r="F33"/>
      <c r="G33"/>
      <c r="H33"/>
      <c r="I33"/>
      <c r="J33"/>
      <c r="K33"/>
    </row>
    <row r="34" spans="1:11" x14ac:dyDescent="0.2">
      <c r="A34">
        <v>4.9697999999999999E-2</v>
      </c>
      <c r="B34">
        <v>0.12224400000000001</v>
      </c>
      <c r="C34"/>
      <c r="D34">
        <v>0.12142</v>
      </c>
      <c r="E34">
        <v>0.119168</v>
      </c>
      <c r="F34"/>
      <c r="G34"/>
      <c r="H34"/>
      <c r="I34"/>
      <c r="J34"/>
      <c r="K34"/>
    </row>
    <row r="35" spans="1:11" x14ac:dyDescent="0.2">
      <c r="A35">
        <v>5.0464000000000002E-2</v>
      </c>
      <c r="B35">
        <v>0.12513099999999999</v>
      </c>
      <c r="C35"/>
      <c r="D35">
        <v>0.124296</v>
      </c>
      <c r="E35">
        <v>0.122215</v>
      </c>
      <c r="F35"/>
      <c r="G35"/>
      <c r="H35"/>
      <c r="I35"/>
      <c r="J35"/>
      <c r="K35"/>
    </row>
    <row r="36" spans="1:11" x14ac:dyDescent="0.2">
      <c r="A36">
        <v>5.1242000000000003E-2</v>
      </c>
      <c r="B36">
        <v>0.12801699999999999</v>
      </c>
      <c r="C36"/>
      <c r="D36">
        <v>0.12718199999999999</v>
      </c>
      <c r="E36">
        <v>0.12526300000000001</v>
      </c>
      <c r="F36"/>
      <c r="G36"/>
      <c r="H36"/>
      <c r="I36"/>
      <c r="J36"/>
      <c r="K36"/>
    </row>
    <row r="37" spans="1:11" x14ac:dyDescent="0.2">
      <c r="A37">
        <v>5.2031000000000001E-2</v>
      </c>
      <c r="B37">
        <v>0.13090399999999999</v>
      </c>
      <c r="C37"/>
      <c r="D37">
        <v>0.130078</v>
      </c>
      <c r="E37">
        <v>0.12831000000000001</v>
      </c>
      <c r="F37"/>
      <c r="G37"/>
      <c r="H37"/>
      <c r="I37"/>
      <c r="J37"/>
      <c r="K37"/>
    </row>
    <row r="38" spans="1:11" x14ac:dyDescent="0.2">
      <c r="A38">
        <v>5.2831999999999997E-2</v>
      </c>
      <c r="B38">
        <v>0.13378999999999999</v>
      </c>
      <c r="C38"/>
      <c r="D38">
        <v>0.13298199999999999</v>
      </c>
      <c r="E38">
        <v>0.131358</v>
      </c>
      <c r="F38"/>
      <c r="G38"/>
      <c r="H38"/>
      <c r="I38"/>
      <c r="J38"/>
      <c r="K38"/>
    </row>
    <row r="39" spans="1:11" x14ac:dyDescent="0.2">
      <c r="A39">
        <v>5.3643999999999997E-2</v>
      </c>
      <c r="B39">
        <v>0.13667699999999999</v>
      </c>
      <c r="C39"/>
      <c r="D39">
        <v>0.13589499999999999</v>
      </c>
      <c r="E39">
        <v>0.134405</v>
      </c>
      <c r="F39"/>
      <c r="G39"/>
      <c r="H39"/>
      <c r="I39"/>
      <c r="J39"/>
      <c r="K39"/>
    </row>
    <row r="40" spans="1:11" x14ac:dyDescent="0.2">
      <c r="A40">
        <v>5.4466000000000001E-2</v>
      </c>
      <c r="B40">
        <v>0.13956399999999999</v>
      </c>
      <c r="C40"/>
      <c r="D40">
        <v>0.13881499999999999</v>
      </c>
      <c r="E40">
        <v>0.13745199999999999</v>
      </c>
      <c r="F40"/>
      <c r="G40"/>
      <c r="H40"/>
      <c r="I40"/>
      <c r="J40"/>
      <c r="K40"/>
    </row>
    <row r="41" spans="1:11" x14ac:dyDescent="0.2">
      <c r="A41">
        <v>5.5298E-2</v>
      </c>
      <c r="B41">
        <v>0.14244999999999999</v>
      </c>
      <c r="C41"/>
      <c r="D41">
        <v>0.14174300000000001</v>
      </c>
      <c r="E41">
        <v>0.14050000000000001</v>
      </c>
      <c r="F41"/>
      <c r="G41"/>
      <c r="H41"/>
      <c r="I41"/>
      <c r="J41"/>
      <c r="K41"/>
    </row>
    <row r="42" spans="1:11" x14ac:dyDescent="0.2">
      <c r="A42">
        <v>5.6139000000000001E-2</v>
      </c>
      <c r="B42">
        <v>0.14533699999999999</v>
      </c>
      <c r="C42"/>
      <c r="D42">
        <v>0.144677</v>
      </c>
      <c r="E42">
        <v>0.14354700000000001</v>
      </c>
      <c r="F42"/>
      <c r="G42"/>
      <c r="H42"/>
      <c r="I42"/>
      <c r="J42"/>
      <c r="K42"/>
    </row>
    <row r="43" spans="1:11" x14ac:dyDescent="0.2">
      <c r="A43">
        <v>5.6988999999999998E-2</v>
      </c>
      <c r="B43">
        <v>0.14822299999999999</v>
      </c>
      <c r="C43"/>
      <c r="D43">
        <v>0.147618</v>
      </c>
      <c r="E43">
        <v>0.146595</v>
      </c>
      <c r="F43"/>
      <c r="G43"/>
      <c r="H43"/>
      <c r="I43"/>
      <c r="J43"/>
      <c r="K43"/>
    </row>
    <row r="44" spans="1:11" x14ac:dyDescent="0.2">
      <c r="A44">
        <v>5.7847999999999997E-2</v>
      </c>
      <c r="B44">
        <v>0.15110999999999999</v>
      </c>
      <c r="C44"/>
      <c r="D44">
        <v>0.150564</v>
      </c>
      <c r="E44">
        <v>0.149642</v>
      </c>
      <c r="F44"/>
      <c r="G44"/>
      <c r="H44"/>
      <c r="I44"/>
      <c r="J44"/>
      <c r="K44"/>
    </row>
    <row r="45" spans="1:11" x14ac:dyDescent="0.2">
      <c r="A45">
        <v>5.8715000000000003E-2</v>
      </c>
      <c r="B45">
        <v>0.153997</v>
      </c>
      <c r="C45"/>
      <c r="D45">
        <v>0.15351600000000001</v>
      </c>
      <c r="E45">
        <v>0.15268899999999999</v>
      </c>
      <c r="F45"/>
      <c r="G45"/>
      <c r="H45"/>
      <c r="I45"/>
      <c r="J45"/>
      <c r="K45"/>
    </row>
    <row r="46" spans="1:11" x14ac:dyDescent="0.2">
      <c r="A46">
        <v>5.9589999999999997E-2</v>
      </c>
      <c r="B46">
        <v>0.15688299999999999</v>
      </c>
      <c r="C46"/>
      <c r="D46">
        <v>0.156474</v>
      </c>
      <c r="E46">
        <v>0.15573699999999999</v>
      </c>
      <c r="F46"/>
      <c r="G46"/>
      <c r="H46"/>
      <c r="I46"/>
      <c r="J46"/>
      <c r="K46"/>
    </row>
    <row r="47" spans="1:11" x14ac:dyDescent="0.2">
      <c r="A47">
        <v>6.0471999999999998E-2</v>
      </c>
      <c r="B47">
        <v>0.15977</v>
      </c>
      <c r="C47"/>
      <c r="D47">
        <v>0.15943599999999999</v>
      </c>
      <c r="E47">
        <v>0.15878400000000001</v>
      </c>
      <c r="F47"/>
      <c r="G47"/>
      <c r="H47"/>
      <c r="I47"/>
      <c r="J47"/>
      <c r="K47"/>
    </row>
    <row r="48" spans="1:11" x14ac:dyDescent="0.2">
      <c r="A48">
        <v>6.1360999999999999E-2</v>
      </c>
      <c r="B48">
        <v>0.162656</v>
      </c>
      <c r="C48"/>
      <c r="D48">
        <v>0.16244</v>
      </c>
      <c r="E48">
        <v>0.161832</v>
      </c>
      <c r="F48"/>
      <c r="G48"/>
      <c r="H48"/>
      <c r="I48"/>
      <c r="J48"/>
      <c r="K48"/>
    </row>
    <row r="49" spans="1:11" x14ac:dyDescent="0.2">
      <c r="A49">
        <v>6.2257E-2</v>
      </c>
      <c r="B49">
        <v>0.165543</v>
      </c>
      <c r="C49"/>
      <c r="D49">
        <v>0.16552500000000001</v>
      </c>
      <c r="E49">
        <v>0.164879</v>
      </c>
      <c r="F49"/>
      <c r="G49"/>
      <c r="H49"/>
      <c r="I49"/>
      <c r="J49"/>
      <c r="K49"/>
    </row>
    <row r="50" spans="1:11" x14ac:dyDescent="0.2">
      <c r="A50">
        <v>6.3159999999999994E-2</v>
      </c>
      <c r="B50">
        <v>0.16843</v>
      </c>
      <c r="C50"/>
      <c r="D50">
        <v>0.168685</v>
      </c>
      <c r="E50">
        <v>0.16792699999999999</v>
      </c>
      <c r="F50"/>
      <c r="G50"/>
      <c r="H50"/>
      <c r="I50"/>
      <c r="J50"/>
      <c r="K50"/>
    </row>
    <row r="51" spans="1:11" x14ac:dyDescent="0.2">
      <c r="A51">
        <v>6.4069000000000001E-2</v>
      </c>
      <c r="B51">
        <v>0.171316</v>
      </c>
      <c r="C51"/>
      <c r="D51">
        <v>0.17191600000000001</v>
      </c>
      <c r="E51">
        <v>0.17097399999999999</v>
      </c>
      <c r="F51"/>
      <c r="G51"/>
      <c r="H51"/>
      <c r="I51"/>
      <c r="J51"/>
      <c r="K51"/>
    </row>
    <row r="52" spans="1:11" x14ac:dyDescent="0.2">
      <c r="A52">
        <v>6.4984E-2</v>
      </c>
      <c r="B52">
        <v>0.174203</v>
      </c>
      <c r="C52"/>
      <c r="D52">
        <v>0.17521600000000001</v>
      </c>
      <c r="E52">
        <v>0.17402100000000001</v>
      </c>
      <c r="F52"/>
      <c r="G52"/>
      <c r="H52"/>
      <c r="I52"/>
      <c r="J52"/>
      <c r="K52"/>
    </row>
    <row r="53" spans="1:11" x14ac:dyDescent="0.2">
      <c r="A53">
        <v>6.5905000000000005E-2</v>
      </c>
      <c r="B53">
        <v>0.177089</v>
      </c>
      <c r="C53"/>
      <c r="D53">
        <v>0.17857899999999999</v>
      </c>
      <c r="E53">
        <v>0.177069</v>
      </c>
      <c r="F53"/>
      <c r="G53"/>
      <c r="H53"/>
      <c r="I53"/>
      <c r="J53"/>
      <c r="K53"/>
    </row>
    <row r="54" spans="1:11" x14ac:dyDescent="0.2">
      <c r="A54">
        <v>6.6831000000000002E-2</v>
      </c>
      <c r="B54">
        <v>0.179976</v>
      </c>
      <c r="C54"/>
      <c r="D54">
        <v>0.182003</v>
      </c>
      <c r="E54">
        <v>0.180116</v>
      </c>
      <c r="F54"/>
      <c r="G54"/>
      <c r="H54"/>
      <c r="I54"/>
      <c r="J54"/>
      <c r="K54"/>
    </row>
    <row r="55" spans="1:11" x14ac:dyDescent="0.2">
      <c r="A55">
        <v>6.7763000000000004E-2</v>
      </c>
      <c r="B55">
        <v>0.182863</v>
      </c>
      <c r="C55"/>
      <c r="D55">
        <v>0.18551599999999999</v>
      </c>
      <c r="E55">
        <v>0.18316399999999999</v>
      </c>
      <c r="F55"/>
      <c r="G55"/>
      <c r="H55"/>
      <c r="I55"/>
      <c r="J55"/>
      <c r="K55"/>
    </row>
    <row r="56" spans="1:11" x14ac:dyDescent="0.2">
      <c r="A56">
        <v>6.8698999999999996E-2</v>
      </c>
      <c r="B56">
        <v>0.185749</v>
      </c>
      <c r="C56"/>
      <c r="D56">
        <v>0.18924199999999999</v>
      </c>
      <c r="E56">
        <v>0.18621099999999999</v>
      </c>
      <c r="F56"/>
      <c r="G56"/>
      <c r="H56"/>
      <c r="I56"/>
      <c r="J56"/>
      <c r="K56"/>
    </row>
    <row r="57" spans="1:11" x14ac:dyDescent="0.2">
      <c r="A57">
        <v>6.9640999999999995E-2</v>
      </c>
      <c r="B57">
        <v>0.188636</v>
      </c>
      <c r="C57"/>
      <c r="D57">
        <v>0.193185</v>
      </c>
      <c r="E57">
        <v>0.18925800000000001</v>
      </c>
      <c r="F57"/>
      <c r="G57"/>
      <c r="H57"/>
      <c r="I57"/>
      <c r="J57"/>
      <c r="K57"/>
    </row>
    <row r="58" spans="1:11" x14ac:dyDescent="0.2">
      <c r="A58">
        <v>7.0586999999999997E-2</v>
      </c>
      <c r="B58">
        <v>0.191522</v>
      </c>
      <c r="C58"/>
      <c r="D58">
        <v>0.19733000000000001</v>
      </c>
      <c r="E58">
        <v>0.192306</v>
      </c>
      <c r="F58"/>
      <c r="G58"/>
      <c r="H58"/>
      <c r="I58"/>
      <c r="J58"/>
      <c r="K58"/>
    </row>
    <row r="59" spans="1:11" x14ac:dyDescent="0.2">
      <c r="A59">
        <v>7.1538000000000004E-2</v>
      </c>
      <c r="B59">
        <v>0.194409</v>
      </c>
      <c r="C59"/>
      <c r="D59">
        <v>0.20166500000000001</v>
      </c>
      <c r="E59">
        <v>0.195353</v>
      </c>
      <c r="F59"/>
      <c r="G59"/>
      <c r="H59"/>
      <c r="I59"/>
      <c r="J59"/>
      <c r="K59"/>
    </row>
    <row r="60" spans="1:11" x14ac:dyDescent="0.2">
      <c r="A60">
        <v>7.2493000000000002E-2</v>
      </c>
      <c r="B60">
        <v>0.197296</v>
      </c>
      <c r="C60"/>
      <c r="D60">
        <v>0.206178</v>
      </c>
      <c r="E60">
        <v>0.19840099999999999</v>
      </c>
      <c r="F60"/>
      <c r="G60"/>
      <c r="H60"/>
      <c r="I60"/>
      <c r="J60"/>
      <c r="K60"/>
    </row>
    <row r="61" spans="1:11" x14ac:dyDescent="0.2">
      <c r="A61">
        <v>7.3452000000000003E-2</v>
      </c>
      <c r="B61">
        <v>0.200182</v>
      </c>
      <c r="C61"/>
      <c r="D61">
        <v>0.21085899999999999</v>
      </c>
      <c r="E61">
        <v>0.20144799999999999</v>
      </c>
      <c r="F61"/>
      <c r="G61"/>
      <c r="H61"/>
      <c r="I61"/>
      <c r="J61"/>
      <c r="K61"/>
    </row>
    <row r="62" spans="1:11" x14ac:dyDescent="0.2">
      <c r="A62">
        <v>7.4415999999999996E-2</v>
      </c>
      <c r="B62">
        <v>0.203069</v>
      </c>
      <c r="C62"/>
      <c r="D62">
        <v>0.215695</v>
      </c>
      <c r="E62">
        <v>0.20449600000000001</v>
      </c>
      <c r="F62"/>
      <c r="G62"/>
      <c r="H62"/>
      <c r="I62"/>
      <c r="J62"/>
      <c r="K62"/>
    </row>
    <row r="63" spans="1:11" x14ac:dyDescent="0.2">
      <c r="A63">
        <v>7.5383000000000006E-2</v>
      </c>
      <c r="B63">
        <v>0.205955</v>
      </c>
      <c r="C63"/>
      <c r="D63">
        <v>0.22067600000000001</v>
      </c>
      <c r="E63">
        <v>0.20754300000000001</v>
      </c>
      <c r="F63"/>
      <c r="G63"/>
      <c r="H63"/>
      <c r="I63"/>
      <c r="J63"/>
      <c r="K63"/>
    </row>
    <row r="64" spans="1:11" x14ac:dyDescent="0.2">
      <c r="A64">
        <v>7.6354000000000005E-2</v>
      </c>
      <c r="B64">
        <v>0.208842</v>
      </c>
      <c r="C64"/>
      <c r="D64">
        <v>0.22579399999999999</v>
      </c>
      <c r="E64">
        <v>0.21059</v>
      </c>
      <c r="F64"/>
      <c r="G64"/>
      <c r="H64"/>
      <c r="I64"/>
      <c r="J64"/>
      <c r="K64"/>
    </row>
    <row r="65" spans="1:11" x14ac:dyDescent="0.2">
      <c r="A65">
        <v>7.7327999999999994E-2</v>
      </c>
      <c r="B65">
        <v>0.211729</v>
      </c>
      <c r="C65"/>
      <c r="D65">
        <v>0.23103899999999999</v>
      </c>
      <c r="E65">
        <v>0.21363799999999999</v>
      </c>
      <c r="F65"/>
      <c r="G65"/>
      <c r="H65"/>
      <c r="I65"/>
      <c r="J65"/>
      <c r="K65"/>
    </row>
    <row r="66" spans="1:11" x14ac:dyDescent="0.2">
      <c r="A66">
        <v>7.8306000000000001E-2</v>
      </c>
      <c r="B66">
        <v>0.214615</v>
      </c>
      <c r="C66"/>
      <c r="D66">
        <v>0.236402</v>
      </c>
      <c r="E66">
        <v>0.21668499999999999</v>
      </c>
      <c r="F66"/>
      <c r="G66"/>
      <c r="H66"/>
      <c r="I66"/>
      <c r="J66"/>
      <c r="K66"/>
    </row>
    <row r="67" spans="1:11" x14ac:dyDescent="0.2">
      <c r="A67">
        <v>7.9286999999999996E-2</v>
      </c>
      <c r="B67">
        <v>0.217502</v>
      </c>
      <c r="C67"/>
      <c r="D67">
        <v>0.24187500000000001</v>
      </c>
      <c r="E67">
        <v>0.21973300000000001</v>
      </c>
      <c r="F67"/>
      <c r="G67"/>
      <c r="H67"/>
      <c r="I67"/>
      <c r="J67"/>
      <c r="K67"/>
    </row>
    <row r="68" spans="1:11" x14ac:dyDescent="0.2">
      <c r="A68">
        <v>8.0270999999999995E-2</v>
      </c>
      <c r="B68">
        <v>0.220388</v>
      </c>
      <c r="C68"/>
      <c r="D68">
        <v>0.24745200000000001</v>
      </c>
      <c r="E68">
        <v>0.22278000000000001</v>
      </c>
      <c r="F68"/>
      <c r="G68"/>
      <c r="H68"/>
      <c r="I68"/>
      <c r="J68"/>
      <c r="K68"/>
    </row>
    <row r="69" spans="1:11" x14ac:dyDescent="0.2">
      <c r="A69">
        <v>8.1257999999999997E-2</v>
      </c>
      <c r="B69">
        <v>0.223275</v>
      </c>
      <c r="C69"/>
      <c r="D69">
        <v>0.25312600000000002</v>
      </c>
      <c r="E69">
        <v>0.225828</v>
      </c>
      <c r="F69"/>
      <c r="G69"/>
      <c r="H69"/>
      <c r="I69"/>
      <c r="J69"/>
      <c r="K69"/>
    </row>
    <row r="70" spans="1:11" x14ac:dyDescent="0.2">
      <c r="A70">
        <v>8.2249000000000003E-2</v>
      </c>
      <c r="B70">
        <v>0.226162</v>
      </c>
      <c r="C70"/>
      <c r="D70">
        <v>0.25889000000000001</v>
      </c>
      <c r="E70">
        <v>0.228875</v>
      </c>
      <c r="F70"/>
      <c r="G70"/>
      <c r="H70"/>
      <c r="I70"/>
      <c r="J70"/>
      <c r="K70"/>
    </row>
    <row r="71" spans="1:11" x14ac:dyDescent="0.2">
      <c r="A71">
        <v>8.3241999999999997E-2</v>
      </c>
      <c r="B71">
        <v>0.229048</v>
      </c>
      <c r="C71"/>
      <c r="D71">
        <v>0.264737</v>
      </c>
      <c r="E71">
        <v>0.23192199999999999</v>
      </c>
      <c r="F71"/>
      <c r="G71"/>
      <c r="H71"/>
      <c r="I71"/>
      <c r="J71"/>
      <c r="K71"/>
    </row>
    <row r="72" spans="1:11" x14ac:dyDescent="0.2">
      <c r="A72">
        <v>8.4237999999999993E-2</v>
      </c>
      <c r="B72">
        <v>0.231935</v>
      </c>
      <c r="C72"/>
      <c r="D72">
        <v>0.27066400000000002</v>
      </c>
      <c r="E72">
        <v>0.23497000000000001</v>
      </c>
      <c r="F72"/>
      <c r="G72"/>
      <c r="H72"/>
      <c r="I72"/>
      <c r="J72"/>
      <c r="K72"/>
    </row>
    <row r="73" spans="1:11" x14ac:dyDescent="0.2">
      <c r="A73">
        <v>8.5236000000000006E-2</v>
      </c>
      <c r="B73">
        <v>0.234821</v>
      </c>
      <c r="C73"/>
      <c r="D73">
        <v>0.27666400000000002</v>
      </c>
      <c r="E73">
        <v>0.23801700000000001</v>
      </c>
      <c r="F73"/>
      <c r="G73"/>
      <c r="H73"/>
      <c r="I73"/>
      <c r="J73"/>
      <c r="K73"/>
    </row>
    <row r="74" spans="1:11" x14ac:dyDescent="0.2">
      <c r="A74">
        <v>8.6236999999999994E-2</v>
      </c>
      <c r="B74">
        <v>0.237708</v>
      </c>
      <c r="C74"/>
      <c r="D74">
        <v>0.28273399999999999</v>
      </c>
      <c r="E74">
        <v>0.241065</v>
      </c>
      <c r="F74"/>
      <c r="G74"/>
      <c r="H74"/>
      <c r="I74"/>
      <c r="J74"/>
      <c r="K74"/>
    </row>
    <row r="75" spans="1:11" x14ac:dyDescent="0.2">
      <c r="A75">
        <v>8.7240999999999999E-2</v>
      </c>
      <c r="B75">
        <v>0.240595</v>
      </c>
      <c r="C75"/>
      <c r="D75">
        <v>0.28886800000000001</v>
      </c>
      <c r="E75">
        <v>0.244112</v>
      </c>
      <c r="F75"/>
      <c r="G75"/>
      <c r="H75"/>
      <c r="I75"/>
      <c r="J75"/>
      <c r="K75"/>
    </row>
    <row r="76" spans="1:11" x14ac:dyDescent="0.2">
      <c r="A76">
        <v>8.8246000000000005E-2</v>
      </c>
      <c r="B76">
        <v>0.243481</v>
      </c>
      <c r="C76"/>
      <c r="D76">
        <v>0.29506199999999999</v>
      </c>
      <c r="E76">
        <v>0.24715899999999999</v>
      </c>
      <c r="F76"/>
      <c r="G76"/>
      <c r="H76"/>
      <c r="I76"/>
      <c r="J76"/>
      <c r="K76"/>
    </row>
    <row r="77" spans="1:11" x14ac:dyDescent="0.2">
      <c r="A77">
        <v>8.9255000000000001E-2</v>
      </c>
      <c r="B77">
        <v>0.246368</v>
      </c>
      <c r="C77"/>
      <c r="D77">
        <v>0.30131400000000003</v>
      </c>
      <c r="E77">
        <v>0.25020700000000001</v>
      </c>
      <c r="F77"/>
      <c r="G77"/>
      <c r="H77"/>
      <c r="I77"/>
      <c r="J77"/>
      <c r="K77"/>
    </row>
    <row r="78" spans="1:11" x14ac:dyDescent="0.2">
      <c r="A78">
        <v>9.0264999999999998E-2</v>
      </c>
      <c r="B78">
        <v>0.249254</v>
      </c>
      <c r="C78"/>
      <c r="D78">
        <v>0.30761899999999998</v>
      </c>
      <c r="E78">
        <v>0.25325399999999998</v>
      </c>
      <c r="F78"/>
      <c r="G78"/>
      <c r="H78"/>
      <c r="I78"/>
      <c r="J78"/>
      <c r="K78"/>
    </row>
    <row r="79" spans="1:11" x14ac:dyDescent="0.2">
      <c r="A79">
        <v>9.1277999999999998E-2</v>
      </c>
      <c r="B79">
        <v>0.252141</v>
      </c>
      <c r="C79"/>
      <c r="D79">
        <v>0.31397399999999998</v>
      </c>
      <c r="E79">
        <v>0.25630199999999997</v>
      </c>
      <c r="F79"/>
      <c r="G79"/>
      <c r="H79"/>
      <c r="I79"/>
      <c r="J79"/>
      <c r="K79"/>
    </row>
    <row r="80" spans="1:11" x14ac:dyDescent="0.2">
      <c r="A80">
        <v>9.2291999999999999E-2</v>
      </c>
      <c r="B80">
        <v>0.25502799999999998</v>
      </c>
      <c r="C80"/>
      <c r="D80">
        <v>0.32037700000000002</v>
      </c>
      <c r="E80">
        <v>0.259349</v>
      </c>
      <c r="F80"/>
      <c r="G80"/>
      <c r="H80"/>
      <c r="I80"/>
      <c r="J80"/>
      <c r="K80"/>
    </row>
    <row r="81" spans="1:11" x14ac:dyDescent="0.2">
      <c r="A81">
        <v>9.3309000000000003E-2</v>
      </c>
      <c r="B81">
        <v>0.25791399999999998</v>
      </c>
      <c r="C81"/>
      <c r="D81">
        <v>0.32682299999999997</v>
      </c>
      <c r="E81">
        <v>0.26239699999999999</v>
      </c>
      <c r="F81"/>
      <c r="G81"/>
      <c r="H81"/>
      <c r="I81"/>
      <c r="J81"/>
      <c r="K81"/>
    </row>
    <row r="82" spans="1:11" x14ac:dyDescent="0.2">
      <c r="A82">
        <v>9.4327999999999995E-2</v>
      </c>
      <c r="B82">
        <v>0.26080100000000001</v>
      </c>
      <c r="C82"/>
      <c r="D82">
        <v>0.333312</v>
      </c>
      <c r="E82">
        <v>0.26544400000000001</v>
      </c>
      <c r="F82"/>
      <c r="G82"/>
      <c r="H82"/>
      <c r="I82"/>
      <c r="J82"/>
      <c r="K82"/>
    </row>
    <row r="83" spans="1:11" x14ac:dyDescent="0.2">
      <c r="A83">
        <v>9.5348000000000002E-2</v>
      </c>
      <c r="B83">
        <v>0.263687</v>
      </c>
      <c r="C83"/>
      <c r="D83"/>
      <c r="E83"/>
      <c r="F83"/>
      <c r="G83"/>
      <c r="H83"/>
      <c r="I83"/>
      <c r="J83"/>
      <c r="K83"/>
    </row>
    <row r="84" spans="1:11" x14ac:dyDescent="0.2">
      <c r="A84">
        <v>9.6369999999999997E-2</v>
      </c>
      <c r="B84">
        <v>0.26657399999999998</v>
      </c>
      <c r="C84"/>
      <c r="D84"/>
      <c r="E84"/>
      <c r="F84"/>
      <c r="G84"/>
      <c r="H84"/>
      <c r="I84"/>
      <c r="J84"/>
      <c r="K84"/>
    </row>
    <row r="85" spans="1:11" x14ac:dyDescent="0.2">
      <c r="A85">
        <v>9.7394999999999995E-2</v>
      </c>
      <c r="B85">
        <v>0.26946100000000001</v>
      </c>
      <c r="C85"/>
      <c r="D85"/>
      <c r="E85"/>
      <c r="F85"/>
      <c r="G85"/>
      <c r="H85"/>
      <c r="I85"/>
      <c r="J85"/>
      <c r="K85"/>
    </row>
    <row r="86" spans="1:11" x14ac:dyDescent="0.2">
      <c r="A86">
        <v>9.8419999999999994E-2</v>
      </c>
      <c r="B86">
        <v>0.27234700000000001</v>
      </c>
      <c r="C86"/>
      <c r="D86"/>
      <c r="E86"/>
      <c r="F86"/>
      <c r="G86"/>
      <c r="H86"/>
      <c r="I86"/>
      <c r="J86"/>
      <c r="K86"/>
    </row>
    <row r="87" spans="1:11" x14ac:dyDescent="0.2">
      <c r="A87">
        <v>9.9447999999999995E-2</v>
      </c>
      <c r="B87">
        <v>0.27523399999999998</v>
      </c>
      <c r="C87"/>
      <c r="D87"/>
      <c r="E87"/>
      <c r="F87"/>
      <c r="G87"/>
      <c r="H87"/>
      <c r="I87"/>
      <c r="J87"/>
      <c r="K87"/>
    </row>
    <row r="88" spans="1:11" x14ac:dyDescent="0.2">
      <c r="A88">
        <v>0.100477</v>
      </c>
      <c r="B88">
        <v>0.27811999999999998</v>
      </c>
      <c r="C88"/>
      <c r="D88"/>
      <c r="E88"/>
      <c r="F88"/>
      <c r="G88"/>
      <c r="H88"/>
      <c r="I88"/>
      <c r="J88"/>
      <c r="K88"/>
    </row>
    <row r="89" spans="1:11" x14ac:dyDescent="0.2">
      <c r="A89">
        <v>0.101508</v>
      </c>
      <c r="B89">
        <v>0.28100700000000001</v>
      </c>
      <c r="C89"/>
      <c r="D89"/>
      <c r="E89"/>
      <c r="F89"/>
      <c r="G89"/>
      <c r="H89"/>
      <c r="I89"/>
      <c r="J89"/>
      <c r="K89"/>
    </row>
    <row r="90" spans="1:11" x14ac:dyDescent="0.2">
      <c r="A90">
        <v>0.10254000000000001</v>
      </c>
      <c r="B90">
        <v>0.28389399999999998</v>
      </c>
      <c r="C90"/>
      <c r="D90"/>
      <c r="E90"/>
      <c r="F90"/>
      <c r="G90"/>
      <c r="H90"/>
      <c r="I90"/>
      <c r="J90"/>
      <c r="K90"/>
    </row>
    <row r="91" spans="1:11" x14ac:dyDescent="0.2">
      <c r="A91">
        <v>0.103573</v>
      </c>
      <c r="B91">
        <v>0.28677999999999998</v>
      </c>
      <c r="C91"/>
      <c r="D91"/>
      <c r="E91"/>
      <c r="F91"/>
      <c r="G91"/>
      <c r="H91"/>
      <c r="I91"/>
      <c r="J91"/>
      <c r="K91"/>
    </row>
    <row r="92" spans="1:11" x14ac:dyDescent="0.2">
      <c r="A92">
        <v>0.10460800000000001</v>
      </c>
      <c r="B92">
        <v>0.28966700000000001</v>
      </c>
      <c r="C92"/>
      <c r="D92"/>
      <c r="E92"/>
      <c r="F92"/>
      <c r="G92"/>
      <c r="H92"/>
      <c r="I92"/>
      <c r="J92"/>
      <c r="K92"/>
    </row>
    <row r="93" spans="1:11" x14ac:dyDescent="0.2">
      <c r="A93">
        <v>0.105645</v>
      </c>
      <c r="B93">
        <v>0.29255300000000001</v>
      </c>
      <c r="C93"/>
      <c r="D93"/>
      <c r="E93"/>
      <c r="F93"/>
      <c r="G93"/>
      <c r="H93"/>
      <c r="I93"/>
      <c r="J93"/>
      <c r="K93"/>
    </row>
    <row r="94" spans="1:11" x14ac:dyDescent="0.2">
      <c r="A94">
        <v>0.106683</v>
      </c>
      <c r="B94">
        <v>0.29543999999999998</v>
      </c>
      <c r="C94"/>
      <c r="D94"/>
      <c r="E94"/>
      <c r="F94"/>
      <c r="G94"/>
      <c r="H94"/>
      <c r="I94"/>
      <c r="J94"/>
      <c r="K94"/>
    </row>
    <row r="95" spans="1:11" x14ac:dyDescent="0.2">
      <c r="A95">
        <v>0.107722</v>
      </c>
      <c r="B95">
        <v>0.29832700000000001</v>
      </c>
      <c r="C95"/>
      <c r="D95"/>
      <c r="E95"/>
      <c r="F95"/>
      <c r="G95"/>
      <c r="H95"/>
      <c r="I95"/>
      <c r="J95"/>
      <c r="K95"/>
    </row>
    <row r="96" spans="1:11" x14ac:dyDescent="0.2">
      <c r="A96">
        <v>0.108762</v>
      </c>
      <c r="B96">
        <v>0.30121300000000001</v>
      </c>
      <c r="C96"/>
      <c r="D96"/>
      <c r="E96"/>
      <c r="F96"/>
      <c r="G96"/>
      <c r="H96"/>
      <c r="I96"/>
      <c r="J96"/>
      <c r="K96"/>
    </row>
    <row r="97" spans="1:11" x14ac:dyDescent="0.2">
      <c r="A97">
        <v>0.109804</v>
      </c>
      <c r="B97">
        <v>0.30409999999999998</v>
      </c>
      <c r="C97"/>
      <c r="D97"/>
      <c r="E97"/>
      <c r="F97"/>
      <c r="G97"/>
      <c r="H97"/>
      <c r="I97"/>
      <c r="J97"/>
      <c r="K97"/>
    </row>
    <row r="98" spans="1:11" x14ac:dyDescent="0.2">
      <c r="A98">
        <v>0.110846</v>
      </c>
      <c r="B98">
        <v>0.30698599999999998</v>
      </c>
      <c r="C98"/>
      <c r="D98"/>
      <c r="E98"/>
      <c r="F98"/>
      <c r="G98"/>
      <c r="H98"/>
      <c r="I98"/>
      <c r="J98"/>
      <c r="K98"/>
    </row>
    <row r="99" spans="1:11" x14ac:dyDescent="0.2">
      <c r="A99">
        <v>0.11189</v>
      </c>
      <c r="B99">
        <v>0.30987300000000001</v>
      </c>
      <c r="C99"/>
      <c r="D99"/>
      <c r="E99"/>
      <c r="F99"/>
      <c r="G99"/>
      <c r="H99"/>
      <c r="I99"/>
      <c r="J99"/>
      <c r="K99"/>
    </row>
    <row r="100" spans="1:11" x14ac:dyDescent="0.2">
      <c r="A100">
        <v>0.11293499999999999</v>
      </c>
      <c r="B100">
        <v>0.31275999999999998</v>
      </c>
      <c r="C100"/>
      <c r="D100"/>
      <c r="E100"/>
      <c r="F100"/>
      <c r="G100"/>
      <c r="H100"/>
      <c r="I100"/>
      <c r="J100"/>
      <c r="K100"/>
    </row>
    <row r="101" spans="1:11" x14ac:dyDescent="0.2">
      <c r="A101">
        <v>0.113982</v>
      </c>
      <c r="B101">
        <v>0.31564599999999998</v>
      </c>
      <c r="C101"/>
      <c r="D101"/>
      <c r="E101"/>
      <c r="F101"/>
      <c r="G101"/>
      <c r="H101"/>
      <c r="I101"/>
      <c r="J101"/>
      <c r="K101"/>
    </row>
    <row r="102" spans="1:11" x14ac:dyDescent="0.2">
      <c r="A102">
        <v>0.11502900000000001</v>
      </c>
      <c r="B102">
        <v>0.31853300000000001</v>
      </c>
      <c r="C102"/>
      <c r="D102"/>
      <c r="E102"/>
      <c r="F102"/>
      <c r="G102"/>
      <c r="H102"/>
      <c r="I102"/>
      <c r="J102"/>
      <c r="K102"/>
    </row>
    <row r="103" spans="1:11" x14ac:dyDescent="0.2">
      <c r="A103">
        <v>0.11600000000000001</v>
      </c>
      <c r="B103">
        <v>0.32109599999999999</v>
      </c>
      <c r="C103"/>
      <c r="D103"/>
      <c r="E103"/>
      <c r="F103"/>
      <c r="G103"/>
      <c r="H103"/>
      <c r="I103"/>
      <c r="J103"/>
      <c r="K103"/>
    </row>
    <row r="104" spans="1:11" x14ac:dyDescent="0.2">
      <c r="A104">
        <v>0.11899999999999999</v>
      </c>
      <c r="B104">
        <v>0.32934099999999999</v>
      </c>
      <c r="C104"/>
      <c r="D104"/>
      <c r="E104"/>
      <c r="F104"/>
      <c r="G104"/>
      <c r="H104"/>
      <c r="I104"/>
      <c r="J104"/>
      <c r="K104"/>
    </row>
    <row r="105" spans="1:11" x14ac:dyDescent="0.2">
      <c r="A105">
        <v>0.122</v>
      </c>
      <c r="B105">
        <v>0.33756399999999998</v>
      </c>
      <c r="C105"/>
      <c r="D105"/>
      <c r="E105"/>
      <c r="F105"/>
      <c r="G105"/>
      <c r="H105"/>
      <c r="I105"/>
      <c r="J105"/>
      <c r="K105"/>
    </row>
    <row r="106" spans="1:11" x14ac:dyDescent="0.2">
      <c r="A106">
        <v>0.125</v>
      </c>
      <c r="B106">
        <v>0.34576899999999999</v>
      </c>
      <c r="C106"/>
      <c r="D106"/>
      <c r="E106"/>
      <c r="F106"/>
      <c r="G106"/>
      <c r="H106"/>
      <c r="I106"/>
      <c r="J106"/>
      <c r="K106"/>
    </row>
    <row r="107" spans="1:11" x14ac:dyDescent="0.2">
      <c r="A107">
        <v>0.128</v>
      </c>
      <c r="B107">
        <v>0.35395500000000002</v>
      </c>
      <c r="C107"/>
      <c r="D107"/>
      <c r="E107"/>
      <c r="F107"/>
      <c r="G107"/>
      <c r="H107"/>
      <c r="I107"/>
      <c r="J107"/>
      <c r="K107"/>
    </row>
    <row r="108" spans="1:11" x14ac:dyDescent="0.2">
      <c r="A108">
        <v>0.13100000000000001</v>
      </c>
      <c r="B108">
        <v>0.36212499999999997</v>
      </c>
      <c r="C108"/>
      <c r="D108"/>
      <c r="E108"/>
      <c r="F108"/>
      <c r="G108"/>
      <c r="H108"/>
      <c r="I108"/>
      <c r="J108"/>
      <c r="K108"/>
    </row>
    <row r="109" spans="1:11" x14ac:dyDescent="0.2">
      <c r="A109">
        <v>0.13400000000000001</v>
      </c>
      <c r="B109">
        <v>0.37028</v>
      </c>
      <c r="C109"/>
      <c r="D109"/>
      <c r="E109"/>
      <c r="F109"/>
      <c r="G109"/>
      <c r="H109"/>
      <c r="I109"/>
      <c r="J109"/>
      <c r="K109"/>
    </row>
    <row r="110" spans="1:11" x14ac:dyDescent="0.2">
      <c r="A110">
        <v>0.13700000000000001</v>
      </c>
      <c r="B110">
        <v>0.37841999999999998</v>
      </c>
      <c r="C110"/>
      <c r="D110"/>
      <c r="E110"/>
      <c r="F110"/>
      <c r="G110"/>
      <c r="H110"/>
      <c r="I110"/>
      <c r="J110"/>
      <c r="K110"/>
    </row>
    <row r="111" spans="1:11" x14ac:dyDescent="0.2">
      <c r="A111">
        <v>0.14000000000000001</v>
      </c>
      <c r="B111">
        <v>0.38654699999999997</v>
      </c>
      <c r="C111"/>
      <c r="D111"/>
      <c r="E111"/>
      <c r="F111"/>
      <c r="G111"/>
      <c r="H111"/>
      <c r="I111"/>
      <c r="J111"/>
      <c r="K111"/>
    </row>
    <row r="112" spans="1:11" x14ac:dyDescent="0.2">
      <c r="A112">
        <v>0.14299999999999999</v>
      </c>
      <c r="B112">
        <v>0.39466200000000001</v>
      </c>
      <c r="C112"/>
      <c r="D112"/>
      <c r="E112"/>
      <c r="F112"/>
      <c r="G112"/>
      <c r="H112"/>
      <c r="I112"/>
      <c r="J112"/>
      <c r="K112"/>
    </row>
    <row r="113" spans="1:11" x14ac:dyDescent="0.2">
      <c r="A113">
        <v>0.14599999999999999</v>
      </c>
      <c r="B113">
        <v>0.40276499999999998</v>
      </c>
      <c r="C113"/>
      <c r="D113"/>
      <c r="E113"/>
      <c r="F113"/>
      <c r="G113"/>
      <c r="H113"/>
      <c r="I113"/>
      <c r="J113"/>
      <c r="K113"/>
    </row>
    <row r="114" spans="1:11" x14ac:dyDescent="0.2">
      <c r="A114">
        <v>0.14899999999999999</v>
      </c>
      <c r="B114">
        <v>0.410858</v>
      </c>
      <c r="C114"/>
      <c r="D114"/>
      <c r="E114"/>
      <c r="F114"/>
      <c r="G114"/>
      <c r="H114"/>
      <c r="I114"/>
      <c r="J114"/>
      <c r="K114"/>
    </row>
    <row r="115" spans="1:11" x14ac:dyDescent="0.2">
      <c r="A115">
        <v>0.152</v>
      </c>
      <c r="B115">
        <v>0.41893999999999998</v>
      </c>
      <c r="C115"/>
      <c r="D115"/>
      <c r="E115"/>
      <c r="F115"/>
      <c r="G115"/>
      <c r="H115"/>
      <c r="I115"/>
      <c r="J115"/>
      <c r="K115"/>
    </row>
    <row r="116" spans="1:11" x14ac:dyDescent="0.2">
      <c r="A116">
        <v>0.155</v>
      </c>
      <c r="B116">
        <v>0.42701299999999998</v>
      </c>
      <c r="C116"/>
      <c r="D116"/>
      <c r="E116"/>
      <c r="F116"/>
      <c r="G116"/>
      <c r="H116"/>
      <c r="I116"/>
      <c r="J116"/>
      <c r="K116"/>
    </row>
    <row r="117" spans="1:11" x14ac:dyDescent="0.2">
      <c r="A117">
        <v>0.158</v>
      </c>
      <c r="B117">
        <v>0.43507699999999999</v>
      </c>
      <c r="C117"/>
      <c r="D117"/>
      <c r="E117"/>
      <c r="F117"/>
      <c r="G117"/>
      <c r="H117"/>
      <c r="I117"/>
      <c r="J117"/>
      <c r="K117"/>
    </row>
    <row r="118" spans="1:11" x14ac:dyDescent="0.2">
      <c r="A118">
        <v>0.161</v>
      </c>
      <c r="B118">
        <v>0.44313200000000003</v>
      </c>
      <c r="C118"/>
      <c r="D118"/>
      <c r="E118"/>
      <c r="F118"/>
      <c r="G118"/>
      <c r="H118"/>
      <c r="I118"/>
      <c r="J118"/>
      <c r="K118"/>
    </row>
    <row r="119" spans="1:11" x14ac:dyDescent="0.2">
      <c r="A119">
        <v>0.16400000000000001</v>
      </c>
      <c r="B119">
        <v>0.451179</v>
      </c>
      <c r="C119"/>
      <c r="D119"/>
      <c r="E119"/>
      <c r="F119"/>
      <c r="G119"/>
      <c r="H119"/>
      <c r="I119"/>
      <c r="J119"/>
      <c r="K119"/>
    </row>
    <row r="120" spans="1:11" x14ac:dyDescent="0.2">
      <c r="A120">
        <v>0.16700000000000001</v>
      </c>
      <c r="B120">
        <v>0.45921899999999999</v>
      </c>
      <c r="C120"/>
      <c r="D120"/>
      <c r="E120"/>
      <c r="F120"/>
      <c r="G120"/>
      <c r="H120"/>
      <c r="I120"/>
      <c r="J120"/>
      <c r="K120"/>
    </row>
    <row r="121" spans="1:11" x14ac:dyDescent="0.2">
      <c r="A121">
        <v>0.17</v>
      </c>
      <c r="B121">
        <v>0.467252</v>
      </c>
      <c r="C121"/>
      <c r="D121"/>
      <c r="E121"/>
      <c r="F121"/>
      <c r="G121"/>
      <c r="H121"/>
      <c r="I121"/>
      <c r="J121"/>
      <c r="K121"/>
    </row>
    <row r="122" spans="1:11" x14ac:dyDescent="0.2">
      <c r="A122">
        <v>0.17299999999999999</v>
      </c>
      <c r="B122">
        <v>0.47527900000000001</v>
      </c>
      <c r="C122"/>
      <c r="D122"/>
      <c r="E122"/>
      <c r="F122"/>
      <c r="G122"/>
      <c r="H122"/>
      <c r="I122"/>
      <c r="J122"/>
      <c r="K122"/>
    </row>
    <row r="123" spans="1:11" x14ac:dyDescent="0.2">
      <c r="A123">
        <v>0.17599999999999999</v>
      </c>
      <c r="B123">
        <v>0.48329899999999998</v>
      </c>
      <c r="C123"/>
      <c r="D123"/>
      <c r="E123"/>
      <c r="F123"/>
      <c r="G123"/>
      <c r="H123"/>
      <c r="I123"/>
      <c r="J123"/>
      <c r="K123"/>
    </row>
    <row r="124" spans="1:11" x14ac:dyDescent="0.2">
      <c r="A124">
        <v>0.17899999999999999</v>
      </c>
      <c r="B124">
        <v>0.491313</v>
      </c>
      <c r="C124"/>
      <c r="D124"/>
      <c r="E124"/>
      <c r="F124"/>
      <c r="G124"/>
      <c r="H124"/>
      <c r="I124"/>
      <c r="J124"/>
      <c r="K124"/>
    </row>
    <row r="125" spans="1:11" x14ac:dyDescent="0.2">
      <c r="A125">
        <v>0.182</v>
      </c>
      <c r="B125">
        <v>0.49932100000000001</v>
      </c>
      <c r="C125"/>
      <c r="D125"/>
      <c r="E125"/>
      <c r="F125"/>
      <c r="G125"/>
      <c r="H125"/>
      <c r="I125"/>
      <c r="J125"/>
      <c r="K125"/>
    </row>
    <row r="126" spans="1:11" x14ac:dyDescent="0.2">
      <c r="A126">
        <v>0.185</v>
      </c>
      <c r="B126">
        <v>0.507324</v>
      </c>
      <c r="C126"/>
      <c r="D126"/>
      <c r="E126"/>
      <c r="F126"/>
      <c r="G126"/>
      <c r="H126"/>
      <c r="I126"/>
      <c r="J126"/>
      <c r="K126"/>
    </row>
    <row r="127" spans="1:11" x14ac:dyDescent="0.2">
      <c r="A127">
        <v>0.188</v>
      </c>
      <c r="B127">
        <v>0.51532199999999995</v>
      </c>
      <c r="C127"/>
      <c r="D127"/>
      <c r="E127"/>
      <c r="F127"/>
      <c r="G127"/>
      <c r="H127"/>
      <c r="I127"/>
      <c r="J127"/>
      <c r="K127"/>
    </row>
    <row r="128" spans="1:11" x14ac:dyDescent="0.2">
      <c r="A128">
        <v>0.191</v>
      </c>
      <c r="B128">
        <v>0.52331399999999995</v>
      </c>
      <c r="C128"/>
      <c r="D128"/>
      <c r="E128"/>
      <c r="F128"/>
      <c r="G128"/>
      <c r="H128"/>
      <c r="I128"/>
      <c r="J128"/>
      <c r="K128"/>
    </row>
    <row r="129" spans="1:11" x14ac:dyDescent="0.2">
      <c r="A129">
        <v>0.19400000000000001</v>
      </c>
      <c r="B129">
        <v>0.53130299999999997</v>
      </c>
      <c r="C129"/>
      <c r="D129"/>
      <c r="E129"/>
      <c r="F129"/>
      <c r="G129"/>
      <c r="H129"/>
      <c r="I129"/>
      <c r="J129"/>
      <c r="K129"/>
    </row>
    <row r="130" spans="1:11" x14ac:dyDescent="0.2">
      <c r="A130">
        <v>0.19700000000000001</v>
      </c>
      <c r="B130">
        <v>0.53928600000000004</v>
      </c>
      <c r="C130"/>
      <c r="D130"/>
      <c r="E130"/>
      <c r="F130"/>
      <c r="G130"/>
      <c r="H130"/>
      <c r="I130"/>
      <c r="J130"/>
      <c r="K130"/>
    </row>
    <row r="131" spans="1:11" x14ac:dyDescent="0.2">
      <c r="A131">
        <v>0.2</v>
      </c>
      <c r="B131">
        <v>0.54726600000000003</v>
      </c>
      <c r="C131"/>
      <c r="D131"/>
      <c r="E131"/>
      <c r="F131"/>
      <c r="G131"/>
      <c r="H131"/>
      <c r="I131"/>
      <c r="J131"/>
      <c r="K131"/>
    </row>
    <row r="132" spans="1:11" x14ac:dyDescent="0.2">
      <c r="A132">
        <v>0.20300000000000001</v>
      </c>
      <c r="B132">
        <v>0.55524200000000001</v>
      </c>
      <c r="C132"/>
      <c r="D132"/>
      <c r="E132"/>
      <c r="F132"/>
      <c r="G132"/>
      <c r="H132"/>
      <c r="I132"/>
      <c r="J132"/>
      <c r="K132"/>
    </row>
    <row r="133" spans="1:11" x14ac:dyDescent="0.2">
      <c r="A133">
        <v>0.20599999999999999</v>
      </c>
      <c r="B133">
        <v>0.56321299999999996</v>
      </c>
      <c r="C133"/>
      <c r="D133"/>
      <c r="E133"/>
      <c r="F133"/>
      <c r="G133"/>
      <c r="H133"/>
      <c r="I133"/>
      <c r="J133"/>
      <c r="K133"/>
    </row>
    <row r="134" spans="1:11" x14ac:dyDescent="0.2">
      <c r="A134">
        <v>0.20899999999999999</v>
      </c>
      <c r="B134">
        <v>0.57118199999999997</v>
      </c>
      <c r="C134"/>
      <c r="D134"/>
      <c r="E134"/>
      <c r="F134"/>
      <c r="G134"/>
      <c r="H134"/>
      <c r="I134"/>
      <c r="J134"/>
      <c r="K134"/>
    </row>
    <row r="135" spans="1:11" x14ac:dyDescent="0.2">
      <c r="A135">
        <v>0.21199999999999999</v>
      </c>
      <c r="B135">
        <v>0.57914600000000005</v>
      </c>
      <c r="C135"/>
      <c r="D135"/>
      <c r="E135"/>
      <c r="F135"/>
      <c r="G135"/>
      <c r="H135"/>
      <c r="I135"/>
      <c r="J135"/>
      <c r="K135"/>
    </row>
    <row r="136" spans="1:11" x14ac:dyDescent="0.2">
      <c r="A136">
        <v>0.215</v>
      </c>
      <c r="B136">
        <v>0.58710700000000005</v>
      </c>
      <c r="C136"/>
      <c r="D136"/>
      <c r="E136"/>
      <c r="F136"/>
      <c r="G136"/>
      <c r="H136"/>
      <c r="I136"/>
      <c r="J136"/>
      <c r="K136"/>
    </row>
    <row r="137" spans="1:11" x14ac:dyDescent="0.2">
      <c r="A137">
        <v>0.218</v>
      </c>
      <c r="B137">
        <v>0.59506499999999996</v>
      </c>
      <c r="C137"/>
      <c r="D137"/>
      <c r="E137"/>
      <c r="F137"/>
      <c r="G137"/>
      <c r="H137"/>
      <c r="I137"/>
      <c r="J137"/>
      <c r="K137"/>
    </row>
    <row r="138" spans="1:11" x14ac:dyDescent="0.2">
      <c r="A138">
        <v>0.221</v>
      </c>
      <c r="B138">
        <v>0.60302</v>
      </c>
      <c r="C138"/>
      <c r="D138"/>
      <c r="E138"/>
      <c r="F138"/>
      <c r="G138"/>
      <c r="H138"/>
      <c r="I138"/>
      <c r="J138"/>
      <c r="K138"/>
    </row>
    <row r="139" spans="1:11" x14ac:dyDescent="0.2">
      <c r="A139">
        <v>0.224</v>
      </c>
      <c r="B139">
        <v>0.61097199999999996</v>
      </c>
      <c r="C139"/>
      <c r="D139"/>
      <c r="E139"/>
      <c r="F139"/>
      <c r="G139"/>
      <c r="H139"/>
      <c r="I139"/>
      <c r="J139"/>
      <c r="K139"/>
    </row>
    <row r="140" spans="1:11" x14ac:dyDescent="0.2">
      <c r="A140">
        <v>0.22700000000000001</v>
      </c>
      <c r="B140">
        <v>0.61892100000000005</v>
      </c>
      <c r="C140"/>
      <c r="D140"/>
      <c r="E140"/>
      <c r="F140"/>
      <c r="G140"/>
      <c r="H140"/>
      <c r="I140"/>
      <c r="J140"/>
      <c r="K140"/>
    </row>
    <row r="141" spans="1:11" x14ac:dyDescent="0.2">
      <c r="A141">
        <v>0.23</v>
      </c>
      <c r="B141">
        <v>0.62686799999999998</v>
      </c>
      <c r="C141"/>
      <c r="D141"/>
      <c r="E141"/>
      <c r="F141"/>
      <c r="G141"/>
      <c r="H141"/>
      <c r="I141"/>
      <c r="J141"/>
      <c r="K141"/>
    </row>
    <row r="142" spans="1:11" x14ac:dyDescent="0.2">
      <c r="A142">
        <v>0.23300000000000001</v>
      </c>
      <c r="B142">
        <v>0.63481200000000004</v>
      </c>
      <c r="C142"/>
      <c r="D142"/>
      <c r="E142"/>
      <c r="F142"/>
      <c r="G142"/>
      <c r="H142"/>
      <c r="I142"/>
      <c r="J142"/>
      <c r="K142"/>
    </row>
    <row r="143" spans="1:11" x14ac:dyDescent="0.2">
      <c r="A143">
        <v>0.23599999999999999</v>
      </c>
      <c r="B143">
        <v>0.64275300000000002</v>
      </c>
      <c r="C143"/>
      <c r="D143"/>
      <c r="E143"/>
      <c r="F143"/>
      <c r="G143"/>
      <c r="H143"/>
      <c r="I143"/>
      <c r="J143"/>
      <c r="K143"/>
    </row>
    <row r="144" spans="1:11" x14ac:dyDescent="0.2">
      <c r="A144">
        <v>0.23899999999999999</v>
      </c>
      <c r="B144">
        <v>0.65069200000000005</v>
      </c>
      <c r="C144"/>
      <c r="D144"/>
      <c r="E144"/>
      <c r="F144"/>
      <c r="G144"/>
      <c r="H144"/>
      <c r="I144"/>
      <c r="J144"/>
      <c r="K144"/>
    </row>
    <row r="145" spans="1:11" x14ac:dyDescent="0.2">
      <c r="A145">
        <v>0.24199999999999999</v>
      </c>
      <c r="B145">
        <v>0.65862799999999999</v>
      </c>
      <c r="C145"/>
      <c r="D145"/>
      <c r="E145"/>
      <c r="F145"/>
      <c r="G145"/>
      <c r="H145"/>
      <c r="I145"/>
      <c r="J145"/>
      <c r="K145"/>
    </row>
    <row r="146" spans="1:11" x14ac:dyDescent="0.2">
      <c r="A146">
        <v>0.245</v>
      </c>
      <c r="B146">
        <v>0.66656300000000002</v>
      </c>
      <c r="C146"/>
      <c r="D146"/>
      <c r="E146"/>
      <c r="F146"/>
      <c r="G146"/>
      <c r="H146"/>
      <c r="I146"/>
      <c r="J146"/>
      <c r="K146"/>
    </row>
    <row r="147" spans="1:11" x14ac:dyDescent="0.2">
      <c r="A147">
        <v>0.248</v>
      </c>
      <c r="B147">
        <v>0.67449499999999996</v>
      </c>
      <c r="C147"/>
      <c r="D147"/>
      <c r="E147"/>
      <c r="F147"/>
      <c r="G147"/>
      <c r="H147"/>
      <c r="I147"/>
      <c r="J147"/>
      <c r="K147"/>
    </row>
    <row r="148" spans="1:11" x14ac:dyDescent="0.2">
      <c r="A148">
        <v>0.251</v>
      </c>
      <c r="B148">
        <v>0.68242499999999995</v>
      </c>
      <c r="C148"/>
      <c r="D148"/>
      <c r="E148"/>
      <c r="F148"/>
      <c r="G148"/>
      <c r="H148"/>
      <c r="I148"/>
      <c r="J148"/>
      <c r="K148"/>
    </row>
    <row r="149" spans="1:11" x14ac:dyDescent="0.2">
      <c r="A149">
        <v>0.254</v>
      </c>
      <c r="B149">
        <v>0.69035299999999999</v>
      </c>
      <c r="C149"/>
      <c r="D149"/>
      <c r="E149"/>
      <c r="F149"/>
      <c r="G149"/>
      <c r="H149"/>
      <c r="I149"/>
      <c r="J149"/>
      <c r="K149"/>
    </row>
    <row r="150" spans="1:11" x14ac:dyDescent="0.2">
      <c r="A150">
        <v>0.25700000000000001</v>
      </c>
      <c r="B150">
        <v>0.69827899999999998</v>
      </c>
      <c r="C150"/>
      <c r="D150"/>
      <c r="E150"/>
      <c r="F150"/>
      <c r="G150"/>
      <c r="H150"/>
      <c r="I150"/>
      <c r="J150"/>
      <c r="K150"/>
    </row>
    <row r="151" spans="1:11" x14ac:dyDescent="0.2">
      <c r="A151">
        <v>0.26</v>
      </c>
      <c r="B151">
        <v>0.70620400000000005</v>
      </c>
      <c r="C151"/>
      <c r="D151"/>
      <c r="E151"/>
      <c r="F151"/>
      <c r="G151"/>
      <c r="H151"/>
      <c r="I151"/>
      <c r="J151"/>
      <c r="K151"/>
    </row>
    <row r="152" spans="1:11" x14ac:dyDescent="0.2">
      <c r="A152">
        <v>0.26300000000000001</v>
      </c>
      <c r="B152">
        <v>0.71412600000000004</v>
      </c>
      <c r="C152"/>
      <c r="D152"/>
      <c r="E152"/>
      <c r="F152"/>
      <c r="G152"/>
      <c r="H152"/>
      <c r="I152"/>
      <c r="J152"/>
      <c r="K152"/>
    </row>
    <row r="153" spans="1:11" x14ac:dyDescent="0.2">
      <c r="A153">
        <v>0.26600000000000001</v>
      </c>
      <c r="B153">
        <v>0.72204699999999999</v>
      </c>
      <c r="C153"/>
      <c r="D153"/>
      <c r="E153"/>
      <c r="F153"/>
      <c r="G153"/>
      <c r="H153"/>
      <c r="I153"/>
      <c r="J153"/>
      <c r="K153"/>
    </row>
    <row r="154" spans="1:11" x14ac:dyDescent="0.2">
      <c r="A154">
        <v>0.26900000000000002</v>
      </c>
      <c r="B154">
        <v>0.729966</v>
      </c>
      <c r="C154"/>
      <c r="D154"/>
      <c r="E154"/>
      <c r="F154"/>
      <c r="G154"/>
      <c r="H154"/>
      <c r="I154"/>
      <c r="J154"/>
      <c r="K154"/>
    </row>
    <row r="155" spans="1:11" x14ac:dyDescent="0.2">
      <c r="A155">
        <v>0.27200000000000002</v>
      </c>
      <c r="B155">
        <v>0.73788399999999998</v>
      </c>
      <c r="C155"/>
      <c r="D155"/>
      <c r="E155"/>
      <c r="F155"/>
      <c r="G155"/>
      <c r="H155"/>
      <c r="I155"/>
      <c r="J155"/>
      <c r="K155"/>
    </row>
    <row r="156" spans="1:11" x14ac:dyDescent="0.2">
      <c r="A156">
        <v>0.27500000000000002</v>
      </c>
      <c r="B156">
        <v>0.74579899999999999</v>
      </c>
      <c r="C156"/>
      <c r="D156"/>
      <c r="E156"/>
      <c r="F156"/>
      <c r="G156"/>
      <c r="H156"/>
      <c r="I156"/>
      <c r="J156"/>
      <c r="K156"/>
    </row>
    <row r="157" spans="1:11" x14ac:dyDescent="0.2">
      <c r="A157">
        <v>0.27800000000000002</v>
      </c>
      <c r="B157">
        <v>0.753714</v>
      </c>
      <c r="C157"/>
      <c r="D157"/>
      <c r="E157"/>
      <c r="F157"/>
      <c r="G157"/>
      <c r="H157"/>
      <c r="I157"/>
      <c r="J157"/>
      <c r="K157"/>
    </row>
    <row r="158" spans="1:11" x14ac:dyDescent="0.2">
      <c r="A158">
        <v>0.28100000000000003</v>
      </c>
      <c r="B158">
        <v>0.76162700000000005</v>
      </c>
      <c r="C158"/>
      <c r="D158"/>
      <c r="E158"/>
      <c r="F158"/>
      <c r="G158"/>
      <c r="H158"/>
      <c r="I158"/>
      <c r="J158"/>
      <c r="K158"/>
    </row>
    <row r="159" spans="1:11" x14ac:dyDescent="0.2">
      <c r="A159">
        <v>0.28399999999999997</v>
      </c>
      <c r="B159">
        <v>0.76953800000000006</v>
      </c>
      <c r="C159"/>
      <c r="D159"/>
      <c r="E159"/>
      <c r="F159"/>
      <c r="G159"/>
      <c r="H159"/>
      <c r="I159"/>
      <c r="J159"/>
      <c r="K159"/>
    </row>
    <row r="160" spans="1:11" x14ac:dyDescent="0.2">
      <c r="A160">
        <v>0.28699999999999998</v>
      </c>
      <c r="B160">
        <v>0.77744899999999995</v>
      </c>
      <c r="C160"/>
      <c r="D160"/>
      <c r="E160"/>
      <c r="F160"/>
      <c r="G160"/>
      <c r="H160"/>
      <c r="I160"/>
      <c r="J160"/>
      <c r="K160"/>
    </row>
    <row r="161" spans="1:11" x14ac:dyDescent="0.2">
      <c r="A161">
        <v>0.28999999999999998</v>
      </c>
      <c r="B161">
        <v>0.785358</v>
      </c>
      <c r="C161"/>
      <c r="D161"/>
      <c r="E161"/>
      <c r="F161"/>
      <c r="G161"/>
      <c r="H161"/>
      <c r="I161"/>
      <c r="J161"/>
      <c r="K161"/>
    </row>
    <row r="162" spans="1:11" x14ac:dyDescent="0.2">
      <c r="A162">
        <v>0.29299999999999998</v>
      </c>
      <c r="B162">
        <v>0.793265</v>
      </c>
      <c r="C162"/>
      <c r="D162"/>
      <c r="E162"/>
      <c r="F162"/>
      <c r="G162"/>
      <c r="H162"/>
      <c r="I162"/>
      <c r="J162"/>
      <c r="K162"/>
    </row>
    <row r="163" spans="1:11" x14ac:dyDescent="0.2">
      <c r="A163">
        <v>0.29599999999999999</v>
      </c>
      <c r="B163">
        <v>0.80117099999999997</v>
      </c>
      <c r="C163"/>
      <c r="D163"/>
      <c r="E163"/>
      <c r="F163"/>
      <c r="G163"/>
      <c r="H163"/>
      <c r="I163"/>
      <c r="J163"/>
      <c r="K163"/>
    </row>
    <row r="164" spans="1:11" x14ac:dyDescent="0.2">
      <c r="A164">
        <v>0.29899999999999999</v>
      </c>
      <c r="B164">
        <v>0.80907700000000005</v>
      </c>
      <c r="C164"/>
      <c r="D164"/>
      <c r="E164"/>
      <c r="F164"/>
      <c r="G164"/>
      <c r="H164"/>
      <c r="I164"/>
      <c r="J164"/>
      <c r="K164"/>
    </row>
    <row r="165" spans="1:11" x14ac:dyDescent="0.2">
      <c r="A165">
        <v>0.30199999999999999</v>
      </c>
      <c r="B165">
        <v>0.81698099999999996</v>
      </c>
      <c r="C165"/>
      <c r="D165"/>
      <c r="E165"/>
      <c r="F165"/>
      <c r="G165"/>
      <c r="H165"/>
      <c r="I165"/>
      <c r="J165"/>
      <c r="K165"/>
    </row>
    <row r="166" spans="1:11" x14ac:dyDescent="0.2">
      <c r="A166">
        <v>0.30499999999999999</v>
      </c>
      <c r="B166">
        <v>0.82488300000000003</v>
      </c>
      <c r="C166"/>
      <c r="D166"/>
      <c r="E166"/>
      <c r="F166"/>
      <c r="G166"/>
      <c r="H166"/>
      <c r="I166"/>
      <c r="J166"/>
      <c r="K166"/>
    </row>
    <row r="167" spans="1:11" x14ac:dyDescent="0.2">
      <c r="A167">
        <v>0.308</v>
      </c>
      <c r="B167">
        <v>0.832785</v>
      </c>
      <c r="C167"/>
      <c r="D167"/>
      <c r="E167"/>
      <c r="F167"/>
      <c r="G167"/>
      <c r="H167"/>
      <c r="I167"/>
      <c r="J167"/>
      <c r="K167"/>
    </row>
    <row r="168" spans="1:11" x14ac:dyDescent="0.2">
      <c r="A168">
        <v>0.311</v>
      </c>
      <c r="B168">
        <v>0.84068600000000004</v>
      </c>
      <c r="C168"/>
      <c r="D168"/>
      <c r="E168"/>
      <c r="F168"/>
      <c r="G168"/>
      <c r="H168"/>
      <c r="I168"/>
      <c r="J168"/>
      <c r="K168"/>
    </row>
    <row r="169" spans="1:11" x14ac:dyDescent="0.2">
      <c r="A169">
        <v>0.314</v>
      </c>
      <c r="B169">
        <v>0.84858500000000003</v>
      </c>
      <c r="C169"/>
      <c r="D169"/>
      <c r="E169"/>
      <c r="F169"/>
      <c r="G169"/>
      <c r="H169"/>
      <c r="I169"/>
      <c r="J169"/>
      <c r="K169"/>
    </row>
    <row r="170" spans="1:11" x14ac:dyDescent="0.2">
      <c r="A170">
        <v>0.317</v>
      </c>
      <c r="B170">
        <v>0.85648400000000002</v>
      </c>
      <c r="C170"/>
      <c r="D170"/>
      <c r="E170"/>
      <c r="F170"/>
      <c r="G170"/>
      <c r="H170"/>
      <c r="I170"/>
      <c r="J170"/>
      <c r="K170"/>
    </row>
    <row r="171" spans="1:11" x14ac:dyDescent="0.2">
      <c r="A171">
        <v>0.32</v>
      </c>
      <c r="B171">
        <v>0.86438199999999998</v>
      </c>
      <c r="C171"/>
      <c r="D171"/>
      <c r="E171"/>
      <c r="F171"/>
      <c r="G171"/>
      <c r="H171"/>
      <c r="I171"/>
      <c r="J171"/>
      <c r="K171"/>
    </row>
    <row r="172" spans="1:11" x14ac:dyDescent="0.2">
      <c r="A172">
        <v>0.32300000000000001</v>
      </c>
      <c r="B172">
        <v>0.872278</v>
      </c>
      <c r="C172"/>
      <c r="D172"/>
      <c r="E172"/>
      <c r="F172"/>
      <c r="G172"/>
      <c r="H172"/>
      <c r="I172"/>
      <c r="J172"/>
      <c r="K172"/>
    </row>
    <row r="173" spans="1:11" x14ac:dyDescent="0.2">
      <c r="A173">
        <v>0.32600000000000001</v>
      </c>
      <c r="B173">
        <v>0.88017400000000001</v>
      </c>
      <c r="C173"/>
      <c r="D173"/>
      <c r="E173"/>
      <c r="F173"/>
      <c r="G173"/>
      <c r="H173"/>
      <c r="I173"/>
      <c r="J173"/>
      <c r="K173"/>
    </row>
    <row r="174" spans="1:11" x14ac:dyDescent="0.2">
      <c r="A174">
        <v>0.32900000000000001</v>
      </c>
      <c r="B174">
        <v>0.888069</v>
      </c>
      <c r="C174"/>
      <c r="D174"/>
      <c r="E174"/>
      <c r="F174"/>
      <c r="G174"/>
      <c r="H174"/>
      <c r="I174"/>
      <c r="J174"/>
      <c r="K174"/>
    </row>
    <row r="175" spans="1:11" x14ac:dyDescent="0.2">
      <c r="A175">
        <v>0.33200000000000002</v>
      </c>
      <c r="B175">
        <v>0.89596299999999995</v>
      </c>
      <c r="C175"/>
      <c r="D175"/>
      <c r="E175"/>
      <c r="F175"/>
      <c r="G175"/>
      <c r="H175"/>
      <c r="I175"/>
      <c r="J175"/>
      <c r="K175"/>
    </row>
    <row r="176" spans="1:11" x14ac:dyDescent="0.2">
      <c r="A176">
        <v>0.33500000000000002</v>
      </c>
      <c r="B176">
        <v>0.90385599999999999</v>
      </c>
      <c r="C176"/>
      <c r="D176"/>
      <c r="E176"/>
      <c r="F176"/>
      <c r="G176"/>
      <c r="H176"/>
      <c r="I176"/>
      <c r="J176"/>
      <c r="K176"/>
    </row>
    <row r="177" spans="1:11" x14ac:dyDescent="0.2">
      <c r="A177">
        <v>0.33800000000000002</v>
      </c>
      <c r="B177">
        <v>0.911748</v>
      </c>
      <c r="C177"/>
      <c r="D177"/>
      <c r="E177"/>
      <c r="F177"/>
      <c r="G177"/>
      <c r="H177"/>
      <c r="I177"/>
      <c r="J177"/>
      <c r="K177"/>
    </row>
    <row r="178" spans="1:11" x14ac:dyDescent="0.2">
      <c r="A178">
        <v>0.34100000000000003</v>
      </c>
      <c r="B178">
        <v>0.91964000000000001</v>
      </c>
      <c r="C178"/>
      <c r="D178"/>
      <c r="E178"/>
      <c r="F178"/>
      <c r="G178"/>
      <c r="H178"/>
      <c r="I178"/>
      <c r="J178"/>
      <c r="K178"/>
    </row>
  </sheetData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G433"/>
  <sheetViews>
    <sheetView workbookViewId="0">
      <selection sqref="A1:G1"/>
    </sheetView>
  </sheetViews>
  <sheetFormatPr baseColWidth="10" defaultColWidth="8.83203125" defaultRowHeight="15" x14ac:dyDescent="0.2"/>
  <cols>
    <col min="1" max="1" width="12" customWidth="1"/>
    <col min="2" max="2" width="11" customWidth="1"/>
    <col min="3" max="3" width="8" customWidth="1"/>
    <col min="4" max="4" width="28" customWidth="1"/>
    <col min="5" max="5" width="70" customWidth="1"/>
    <col min="6" max="6" width="7" customWidth="1"/>
    <col min="7" max="7" width="55" customWidth="1"/>
  </cols>
  <sheetData>
    <row r="1" spans="1:7" ht="26" customHeight="1" x14ac:dyDescent="0.2">
      <c r="A1" s="155" t="s">
        <v>15</v>
      </c>
      <c r="B1" s="141"/>
      <c r="C1" s="141"/>
      <c r="D1" s="141"/>
      <c r="E1" s="141"/>
      <c r="F1" s="141"/>
      <c r="G1" s="141"/>
    </row>
    <row r="2" spans="1:7" ht="30" customHeight="1" x14ac:dyDescent="0.2">
      <c r="A2" s="145" t="s">
        <v>16</v>
      </c>
      <c r="B2" s="141"/>
      <c r="C2" s="141"/>
      <c r="D2" s="141"/>
      <c r="E2" s="141"/>
      <c r="F2" s="141"/>
      <c r="G2" s="141"/>
    </row>
    <row r="4" spans="1:7" ht="16" x14ac:dyDescent="0.2">
      <c r="A4" s="3" t="s">
        <v>17</v>
      </c>
      <c r="B4" s="3" t="s">
        <v>11</v>
      </c>
      <c r="C4" s="3" t="s">
        <v>6</v>
      </c>
      <c r="D4" s="3" t="s">
        <v>7</v>
      </c>
      <c r="E4" s="3" t="s">
        <v>8</v>
      </c>
      <c r="F4" s="3" t="s">
        <v>18</v>
      </c>
      <c r="G4" s="3" t="s">
        <v>19</v>
      </c>
    </row>
    <row r="5" spans="1:7" ht="48" x14ac:dyDescent="0.2">
      <c r="A5" s="11" t="s">
        <v>20</v>
      </c>
      <c r="B5" s="12">
        <v>9</v>
      </c>
      <c r="C5" s="11" t="s">
        <v>21</v>
      </c>
      <c r="D5" s="13" t="s">
        <v>22</v>
      </c>
      <c r="E5" s="13" t="s">
        <v>23</v>
      </c>
      <c r="F5" s="11" t="s">
        <v>24</v>
      </c>
      <c r="G5" s="13" t="s">
        <v>25</v>
      </c>
    </row>
    <row r="6" spans="1:7" ht="48" x14ac:dyDescent="0.2">
      <c r="A6" s="11" t="s">
        <v>26</v>
      </c>
      <c r="B6" s="12">
        <v>5.65</v>
      </c>
      <c r="C6" s="11" t="s">
        <v>21</v>
      </c>
      <c r="D6" s="13" t="s">
        <v>22</v>
      </c>
      <c r="E6" s="13" t="s">
        <v>23</v>
      </c>
      <c r="F6" s="11" t="s">
        <v>27</v>
      </c>
      <c r="G6" s="13" t="s">
        <v>28</v>
      </c>
    </row>
    <row r="7" spans="1:7" ht="48" x14ac:dyDescent="0.2">
      <c r="A7" s="11" t="s">
        <v>29</v>
      </c>
      <c r="B7" s="12">
        <v>2.88</v>
      </c>
      <c r="C7" s="11" t="s">
        <v>21</v>
      </c>
      <c r="D7" s="13" t="s">
        <v>22</v>
      </c>
      <c r="E7" s="13" t="s">
        <v>23</v>
      </c>
      <c r="F7" s="11" t="s">
        <v>30</v>
      </c>
      <c r="G7" s="13" t="s">
        <v>31</v>
      </c>
    </row>
    <row r="8" spans="1:7" ht="48" x14ac:dyDescent="0.2">
      <c r="A8" s="11" t="s">
        <v>32</v>
      </c>
      <c r="B8" s="12">
        <v>1.5</v>
      </c>
      <c r="C8" s="11" t="s">
        <v>21</v>
      </c>
      <c r="D8" s="13" t="s">
        <v>22</v>
      </c>
      <c r="E8" s="13" t="s">
        <v>23</v>
      </c>
      <c r="F8" s="11" t="s">
        <v>33</v>
      </c>
      <c r="G8" s="13" t="s">
        <v>34</v>
      </c>
    </row>
    <row r="9" spans="1:7" ht="48" x14ac:dyDescent="0.2">
      <c r="A9" s="11" t="s">
        <v>35</v>
      </c>
      <c r="B9" s="12">
        <v>1</v>
      </c>
      <c r="C9" s="11" t="s">
        <v>21</v>
      </c>
      <c r="D9" s="13" t="s">
        <v>22</v>
      </c>
      <c r="E9" s="13" t="s">
        <v>23</v>
      </c>
      <c r="F9" s="11" t="s">
        <v>36</v>
      </c>
      <c r="G9" s="13" t="s">
        <v>37</v>
      </c>
    </row>
    <row r="10" spans="1:7" ht="32" x14ac:dyDescent="0.2">
      <c r="A10" s="14" t="s">
        <v>38</v>
      </c>
      <c r="B10" s="15">
        <v>9</v>
      </c>
      <c r="C10" s="14" t="s">
        <v>39</v>
      </c>
      <c r="D10" s="16" t="s">
        <v>22</v>
      </c>
      <c r="E10" s="16" t="s">
        <v>40</v>
      </c>
      <c r="F10" s="14" t="s">
        <v>24</v>
      </c>
      <c r="G10" s="16" t="s">
        <v>41</v>
      </c>
    </row>
    <row r="11" spans="1:7" ht="32" x14ac:dyDescent="0.2">
      <c r="A11" s="14" t="s">
        <v>42</v>
      </c>
      <c r="B11" s="15">
        <v>6</v>
      </c>
      <c r="C11" s="14" t="s">
        <v>39</v>
      </c>
      <c r="D11" s="16" t="s">
        <v>22</v>
      </c>
      <c r="E11" s="16" t="s">
        <v>40</v>
      </c>
      <c r="F11" s="14" t="s">
        <v>27</v>
      </c>
      <c r="G11" s="16" t="s">
        <v>43</v>
      </c>
    </row>
    <row r="12" spans="1:7" ht="32" x14ac:dyDescent="0.2">
      <c r="A12" s="14" t="s">
        <v>44</v>
      </c>
      <c r="B12" s="15">
        <v>4</v>
      </c>
      <c r="C12" s="14" t="s">
        <v>39</v>
      </c>
      <c r="D12" s="16" t="s">
        <v>22</v>
      </c>
      <c r="E12" s="16" t="s">
        <v>40</v>
      </c>
      <c r="F12" s="14" t="s">
        <v>30</v>
      </c>
      <c r="G12" s="16" t="s">
        <v>45</v>
      </c>
    </row>
    <row r="13" spans="1:7" ht="32" x14ac:dyDescent="0.2">
      <c r="A13" s="14" t="s">
        <v>46</v>
      </c>
      <c r="B13" s="15">
        <v>2</v>
      </c>
      <c r="C13" s="14" t="s">
        <v>39</v>
      </c>
      <c r="D13" s="16" t="s">
        <v>22</v>
      </c>
      <c r="E13" s="16" t="s">
        <v>40</v>
      </c>
      <c r="F13" s="14" t="s">
        <v>33</v>
      </c>
      <c r="G13" s="16" t="s">
        <v>47</v>
      </c>
    </row>
    <row r="14" spans="1:7" ht="32" x14ac:dyDescent="0.2">
      <c r="A14" s="14" t="s">
        <v>48</v>
      </c>
      <c r="B14" s="15">
        <v>1</v>
      </c>
      <c r="C14" s="14" t="s">
        <v>39</v>
      </c>
      <c r="D14" s="16" t="s">
        <v>22</v>
      </c>
      <c r="E14" s="16" t="s">
        <v>40</v>
      </c>
      <c r="F14" s="14" t="s">
        <v>36</v>
      </c>
      <c r="G14" s="16" t="s">
        <v>49</v>
      </c>
    </row>
    <row r="15" spans="1:7" ht="32" x14ac:dyDescent="0.2">
      <c r="A15" s="11" t="s">
        <v>50</v>
      </c>
      <c r="B15" s="12">
        <v>9</v>
      </c>
      <c r="C15" s="11" t="s">
        <v>51</v>
      </c>
      <c r="D15" s="13" t="s">
        <v>22</v>
      </c>
      <c r="E15" s="13" t="s">
        <v>52</v>
      </c>
      <c r="F15" s="11" t="s">
        <v>24</v>
      </c>
      <c r="G15" s="13" t="s">
        <v>53</v>
      </c>
    </row>
    <row r="16" spans="1:7" ht="32" x14ac:dyDescent="0.2">
      <c r="A16" s="11" t="s">
        <v>54</v>
      </c>
      <c r="B16" s="12">
        <v>6</v>
      </c>
      <c r="C16" s="11" t="s">
        <v>51</v>
      </c>
      <c r="D16" s="13" t="s">
        <v>22</v>
      </c>
      <c r="E16" s="13" t="s">
        <v>52</v>
      </c>
      <c r="F16" s="11" t="s">
        <v>27</v>
      </c>
      <c r="G16" s="13" t="s">
        <v>55</v>
      </c>
    </row>
    <row r="17" spans="1:7" ht="32" x14ac:dyDescent="0.2">
      <c r="A17" s="11" t="s">
        <v>56</v>
      </c>
      <c r="B17" s="12">
        <v>4</v>
      </c>
      <c r="C17" s="11" t="s">
        <v>51</v>
      </c>
      <c r="D17" s="13" t="s">
        <v>22</v>
      </c>
      <c r="E17" s="13" t="s">
        <v>52</v>
      </c>
      <c r="F17" s="11" t="s">
        <v>30</v>
      </c>
      <c r="G17" s="13" t="s">
        <v>57</v>
      </c>
    </row>
    <row r="18" spans="1:7" ht="32" x14ac:dyDescent="0.2">
      <c r="A18" s="11" t="s">
        <v>58</v>
      </c>
      <c r="B18" s="12">
        <v>2</v>
      </c>
      <c r="C18" s="11" t="s">
        <v>51</v>
      </c>
      <c r="D18" s="13" t="s">
        <v>22</v>
      </c>
      <c r="E18" s="13" t="s">
        <v>52</v>
      </c>
      <c r="F18" s="11" t="s">
        <v>33</v>
      </c>
      <c r="G18" s="13" t="s">
        <v>59</v>
      </c>
    </row>
    <row r="19" spans="1:7" ht="32" x14ac:dyDescent="0.2">
      <c r="A19" s="11" t="s">
        <v>60</v>
      </c>
      <c r="B19" s="12">
        <v>1</v>
      </c>
      <c r="C19" s="11" t="s">
        <v>51</v>
      </c>
      <c r="D19" s="13" t="s">
        <v>22</v>
      </c>
      <c r="E19" s="13" t="s">
        <v>52</v>
      </c>
      <c r="F19" s="11" t="s">
        <v>36</v>
      </c>
      <c r="G19" s="13" t="s">
        <v>61</v>
      </c>
    </row>
    <row r="20" spans="1:7" ht="32" x14ac:dyDescent="0.2">
      <c r="A20" s="14" t="s">
        <v>62</v>
      </c>
      <c r="B20" s="15">
        <v>9</v>
      </c>
      <c r="C20" s="14" t="s">
        <v>63</v>
      </c>
      <c r="D20" s="16" t="s">
        <v>22</v>
      </c>
      <c r="E20" s="16" t="s">
        <v>64</v>
      </c>
      <c r="F20" s="14" t="s">
        <v>24</v>
      </c>
      <c r="G20" s="16" t="s">
        <v>65</v>
      </c>
    </row>
    <row r="21" spans="1:7" ht="32" x14ac:dyDescent="0.2">
      <c r="A21" s="14" t="s">
        <v>66</v>
      </c>
      <c r="B21" s="15">
        <v>6</v>
      </c>
      <c r="C21" s="14" t="s">
        <v>63</v>
      </c>
      <c r="D21" s="16" t="s">
        <v>22</v>
      </c>
      <c r="E21" s="16" t="s">
        <v>64</v>
      </c>
      <c r="F21" s="14" t="s">
        <v>27</v>
      </c>
      <c r="G21" s="16" t="s">
        <v>67</v>
      </c>
    </row>
    <row r="22" spans="1:7" ht="32" x14ac:dyDescent="0.2">
      <c r="A22" s="14" t="s">
        <v>68</v>
      </c>
      <c r="B22" s="15">
        <v>3</v>
      </c>
      <c r="C22" s="14" t="s">
        <v>63</v>
      </c>
      <c r="D22" s="16" t="s">
        <v>22</v>
      </c>
      <c r="E22" s="16" t="s">
        <v>64</v>
      </c>
      <c r="F22" s="14" t="s">
        <v>30</v>
      </c>
      <c r="G22" s="16" t="s">
        <v>69</v>
      </c>
    </row>
    <row r="23" spans="1:7" ht="32" x14ac:dyDescent="0.2">
      <c r="A23" s="14" t="s">
        <v>70</v>
      </c>
      <c r="B23" s="15">
        <v>1.5</v>
      </c>
      <c r="C23" s="14" t="s">
        <v>63</v>
      </c>
      <c r="D23" s="16" t="s">
        <v>22</v>
      </c>
      <c r="E23" s="16" t="s">
        <v>64</v>
      </c>
      <c r="F23" s="14" t="s">
        <v>33</v>
      </c>
      <c r="G23" s="16" t="s">
        <v>71</v>
      </c>
    </row>
    <row r="24" spans="1:7" ht="32" x14ac:dyDescent="0.2">
      <c r="A24" s="11" t="s">
        <v>72</v>
      </c>
      <c r="B24" s="12">
        <v>9</v>
      </c>
      <c r="C24" s="11" t="s">
        <v>73</v>
      </c>
      <c r="D24" s="13" t="s">
        <v>22</v>
      </c>
      <c r="E24" s="13" t="s">
        <v>74</v>
      </c>
      <c r="F24" s="11" t="s">
        <v>24</v>
      </c>
      <c r="G24" s="13" t="s">
        <v>75</v>
      </c>
    </row>
    <row r="25" spans="1:7" ht="32" x14ac:dyDescent="0.2">
      <c r="A25" s="11" t="s">
        <v>76</v>
      </c>
      <c r="B25" s="12">
        <v>6</v>
      </c>
      <c r="C25" s="11" t="s">
        <v>73</v>
      </c>
      <c r="D25" s="13" t="s">
        <v>22</v>
      </c>
      <c r="E25" s="13" t="s">
        <v>74</v>
      </c>
      <c r="F25" s="11" t="s">
        <v>27</v>
      </c>
      <c r="G25" s="13" t="s">
        <v>77</v>
      </c>
    </row>
    <row r="26" spans="1:7" ht="32" x14ac:dyDescent="0.2">
      <c r="A26" s="11" t="s">
        <v>78</v>
      </c>
      <c r="B26" s="12">
        <v>4</v>
      </c>
      <c r="C26" s="11" t="s">
        <v>73</v>
      </c>
      <c r="D26" s="13" t="s">
        <v>22</v>
      </c>
      <c r="E26" s="13" t="s">
        <v>74</v>
      </c>
      <c r="F26" s="11" t="s">
        <v>30</v>
      </c>
      <c r="G26" s="13" t="s">
        <v>79</v>
      </c>
    </row>
    <row r="27" spans="1:7" ht="32" x14ac:dyDescent="0.2">
      <c r="A27" s="11" t="s">
        <v>80</v>
      </c>
      <c r="B27" s="12">
        <v>2</v>
      </c>
      <c r="C27" s="11" t="s">
        <v>73</v>
      </c>
      <c r="D27" s="13" t="s">
        <v>22</v>
      </c>
      <c r="E27" s="13" t="s">
        <v>74</v>
      </c>
      <c r="F27" s="11" t="s">
        <v>33</v>
      </c>
      <c r="G27" s="13" t="s">
        <v>81</v>
      </c>
    </row>
    <row r="28" spans="1:7" ht="32" x14ac:dyDescent="0.2">
      <c r="A28" s="11" t="s">
        <v>82</v>
      </c>
      <c r="B28" s="12">
        <v>1</v>
      </c>
      <c r="C28" s="11" t="s">
        <v>73</v>
      </c>
      <c r="D28" s="13" t="s">
        <v>22</v>
      </c>
      <c r="E28" s="13" t="s">
        <v>74</v>
      </c>
      <c r="F28" s="11" t="s">
        <v>36</v>
      </c>
      <c r="G28" s="13" t="s">
        <v>83</v>
      </c>
    </row>
    <row r="29" spans="1:7" ht="16" x14ac:dyDescent="0.2">
      <c r="A29" s="14" t="s">
        <v>84</v>
      </c>
      <c r="B29" s="15">
        <v>8</v>
      </c>
      <c r="C29" s="14" t="s">
        <v>85</v>
      </c>
      <c r="D29" s="16" t="s">
        <v>22</v>
      </c>
      <c r="E29" s="16" t="s">
        <v>86</v>
      </c>
      <c r="F29" s="14" t="s">
        <v>24</v>
      </c>
      <c r="G29" s="16" t="s">
        <v>87</v>
      </c>
    </row>
    <row r="30" spans="1:7" ht="16" x14ac:dyDescent="0.2">
      <c r="A30" s="14" t="s">
        <v>88</v>
      </c>
      <c r="B30" s="15">
        <v>5</v>
      </c>
      <c r="C30" s="14" t="s">
        <v>85</v>
      </c>
      <c r="D30" s="16" t="s">
        <v>22</v>
      </c>
      <c r="E30" s="16" t="s">
        <v>86</v>
      </c>
      <c r="F30" s="14" t="s">
        <v>27</v>
      </c>
      <c r="G30" s="16" t="s">
        <v>89</v>
      </c>
    </row>
    <row r="31" spans="1:7" ht="16" x14ac:dyDescent="0.2">
      <c r="A31" s="14" t="s">
        <v>90</v>
      </c>
      <c r="B31" s="15">
        <v>3</v>
      </c>
      <c r="C31" s="14" t="s">
        <v>85</v>
      </c>
      <c r="D31" s="16" t="s">
        <v>22</v>
      </c>
      <c r="E31" s="16" t="s">
        <v>86</v>
      </c>
      <c r="F31" s="14" t="s">
        <v>30</v>
      </c>
      <c r="G31" s="16" t="s">
        <v>91</v>
      </c>
    </row>
    <row r="32" spans="1:7" ht="16" x14ac:dyDescent="0.2">
      <c r="A32" s="14" t="s">
        <v>92</v>
      </c>
      <c r="B32" s="15">
        <v>1</v>
      </c>
      <c r="C32" s="14" t="s">
        <v>85</v>
      </c>
      <c r="D32" s="16" t="s">
        <v>22</v>
      </c>
      <c r="E32" s="16" t="s">
        <v>86</v>
      </c>
      <c r="F32" s="14" t="s">
        <v>33</v>
      </c>
      <c r="G32" s="16" t="s">
        <v>93</v>
      </c>
    </row>
    <row r="33" spans="1:7" ht="16" x14ac:dyDescent="0.2">
      <c r="A33" s="11" t="s">
        <v>94</v>
      </c>
      <c r="B33" s="12">
        <v>8</v>
      </c>
      <c r="C33" s="11" t="s">
        <v>95</v>
      </c>
      <c r="D33" s="13" t="s">
        <v>22</v>
      </c>
      <c r="E33" s="13" t="s">
        <v>96</v>
      </c>
      <c r="F33" s="11" t="s">
        <v>24</v>
      </c>
      <c r="G33" s="13" t="s">
        <v>97</v>
      </c>
    </row>
    <row r="34" spans="1:7" ht="16" x14ac:dyDescent="0.2">
      <c r="A34" s="11" t="s">
        <v>98</v>
      </c>
      <c r="B34" s="12">
        <v>5</v>
      </c>
      <c r="C34" s="11" t="s">
        <v>95</v>
      </c>
      <c r="D34" s="13" t="s">
        <v>22</v>
      </c>
      <c r="E34" s="13" t="s">
        <v>96</v>
      </c>
      <c r="F34" s="11" t="s">
        <v>27</v>
      </c>
      <c r="G34" s="13" t="s">
        <v>99</v>
      </c>
    </row>
    <row r="35" spans="1:7" ht="16" x14ac:dyDescent="0.2">
      <c r="A35" s="11" t="s">
        <v>100</v>
      </c>
      <c r="B35" s="12">
        <v>3</v>
      </c>
      <c r="C35" s="11" t="s">
        <v>95</v>
      </c>
      <c r="D35" s="13" t="s">
        <v>22</v>
      </c>
      <c r="E35" s="13" t="s">
        <v>96</v>
      </c>
      <c r="F35" s="11" t="s">
        <v>30</v>
      </c>
      <c r="G35" s="13" t="s">
        <v>101</v>
      </c>
    </row>
    <row r="36" spans="1:7" ht="16" x14ac:dyDescent="0.2">
      <c r="A36" s="11" t="s">
        <v>102</v>
      </c>
      <c r="B36" s="12">
        <v>1</v>
      </c>
      <c r="C36" s="11" t="s">
        <v>95</v>
      </c>
      <c r="D36" s="13" t="s">
        <v>22</v>
      </c>
      <c r="E36" s="13" t="s">
        <v>96</v>
      </c>
      <c r="F36" s="11" t="s">
        <v>33</v>
      </c>
      <c r="G36" s="13" t="s">
        <v>103</v>
      </c>
    </row>
    <row r="37" spans="1:7" ht="32" x14ac:dyDescent="0.2">
      <c r="A37" s="14" t="s">
        <v>104</v>
      </c>
      <c r="B37" s="15">
        <v>9</v>
      </c>
      <c r="C37" s="14" t="s">
        <v>105</v>
      </c>
      <c r="D37" s="16" t="s">
        <v>22</v>
      </c>
      <c r="E37" s="16" t="s">
        <v>106</v>
      </c>
      <c r="F37" s="14" t="s">
        <v>24</v>
      </c>
      <c r="G37" s="16" t="s">
        <v>107</v>
      </c>
    </row>
    <row r="38" spans="1:7" ht="32" x14ac:dyDescent="0.2">
      <c r="A38" s="14" t="s">
        <v>108</v>
      </c>
      <c r="B38" s="15">
        <v>6</v>
      </c>
      <c r="C38" s="14" t="s">
        <v>105</v>
      </c>
      <c r="D38" s="16" t="s">
        <v>22</v>
      </c>
      <c r="E38" s="16" t="s">
        <v>106</v>
      </c>
      <c r="F38" s="14" t="s">
        <v>27</v>
      </c>
      <c r="G38" s="16" t="s">
        <v>109</v>
      </c>
    </row>
    <row r="39" spans="1:7" ht="32" x14ac:dyDescent="0.2">
      <c r="A39" s="14" t="s">
        <v>110</v>
      </c>
      <c r="B39" s="15">
        <v>4</v>
      </c>
      <c r="C39" s="14" t="s">
        <v>105</v>
      </c>
      <c r="D39" s="16" t="s">
        <v>22</v>
      </c>
      <c r="E39" s="16" t="s">
        <v>106</v>
      </c>
      <c r="F39" s="14" t="s">
        <v>30</v>
      </c>
      <c r="G39" s="16" t="s">
        <v>111</v>
      </c>
    </row>
    <row r="40" spans="1:7" ht="32" x14ac:dyDescent="0.2">
      <c r="A40" s="14" t="s">
        <v>112</v>
      </c>
      <c r="B40" s="15">
        <v>2</v>
      </c>
      <c r="C40" s="14" t="s">
        <v>105</v>
      </c>
      <c r="D40" s="16" t="s">
        <v>22</v>
      </c>
      <c r="E40" s="16" t="s">
        <v>106</v>
      </c>
      <c r="F40" s="14" t="s">
        <v>33</v>
      </c>
      <c r="G40" s="16" t="s">
        <v>113</v>
      </c>
    </row>
    <row r="41" spans="1:7" ht="32" x14ac:dyDescent="0.2">
      <c r="A41" s="14" t="s">
        <v>114</v>
      </c>
      <c r="B41" s="15">
        <v>1</v>
      </c>
      <c r="C41" s="14" t="s">
        <v>105</v>
      </c>
      <c r="D41" s="16" t="s">
        <v>22</v>
      </c>
      <c r="E41" s="16" t="s">
        <v>106</v>
      </c>
      <c r="F41" s="14" t="s">
        <v>36</v>
      </c>
      <c r="G41" s="16" t="s">
        <v>115</v>
      </c>
    </row>
    <row r="42" spans="1:7" ht="32" x14ac:dyDescent="0.2">
      <c r="A42" s="11" t="s">
        <v>116</v>
      </c>
      <c r="B42" s="12">
        <v>8</v>
      </c>
      <c r="C42" s="11" t="s">
        <v>117</v>
      </c>
      <c r="D42" s="13" t="s">
        <v>22</v>
      </c>
      <c r="E42" s="13" t="s">
        <v>118</v>
      </c>
      <c r="F42" s="11" t="s">
        <v>24</v>
      </c>
      <c r="G42" s="13" t="s">
        <v>119</v>
      </c>
    </row>
    <row r="43" spans="1:7" ht="32" x14ac:dyDescent="0.2">
      <c r="A43" s="11" t="s">
        <v>120</v>
      </c>
      <c r="B43" s="12">
        <v>5</v>
      </c>
      <c r="C43" s="11" t="s">
        <v>117</v>
      </c>
      <c r="D43" s="13" t="s">
        <v>22</v>
      </c>
      <c r="E43" s="13" t="s">
        <v>118</v>
      </c>
      <c r="F43" s="11" t="s">
        <v>27</v>
      </c>
      <c r="G43" s="13" t="s">
        <v>121</v>
      </c>
    </row>
    <row r="44" spans="1:7" ht="32" x14ac:dyDescent="0.2">
      <c r="A44" s="11" t="s">
        <v>122</v>
      </c>
      <c r="B44" s="12">
        <v>2</v>
      </c>
      <c r="C44" s="11" t="s">
        <v>117</v>
      </c>
      <c r="D44" s="13" t="s">
        <v>22</v>
      </c>
      <c r="E44" s="13" t="s">
        <v>118</v>
      </c>
      <c r="F44" s="11" t="s">
        <v>30</v>
      </c>
      <c r="G44" s="13" t="s">
        <v>123</v>
      </c>
    </row>
    <row r="45" spans="1:7" ht="32" x14ac:dyDescent="0.2">
      <c r="A45" s="11" t="s">
        <v>124</v>
      </c>
      <c r="B45" s="12">
        <v>1</v>
      </c>
      <c r="C45" s="11" t="s">
        <v>117</v>
      </c>
      <c r="D45" s="13" t="s">
        <v>22</v>
      </c>
      <c r="E45" s="13" t="s">
        <v>118</v>
      </c>
      <c r="F45" s="11" t="s">
        <v>33</v>
      </c>
      <c r="G45" s="13" t="s">
        <v>125</v>
      </c>
    </row>
    <row r="46" spans="1:7" ht="16" x14ac:dyDescent="0.2">
      <c r="A46" s="14" t="s">
        <v>126</v>
      </c>
      <c r="B46" s="15">
        <v>8</v>
      </c>
      <c r="C46" s="14" t="s">
        <v>127</v>
      </c>
      <c r="D46" s="16" t="s">
        <v>22</v>
      </c>
      <c r="E46" s="16" t="s">
        <v>128</v>
      </c>
      <c r="F46" s="14" t="s">
        <v>24</v>
      </c>
      <c r="G46" s="16" t="s">
        <v>129</v>
      </c>
    </row>
    <row r="47" spans="1:7" ht="16" x14ac:dyDescent="0.2">
      <c r="A47" s="14" t="s">
        <v>130</v>
      </c>
      <c r="B47" s="15">
        <v>4</v>
      </c>
      <c r="C47" s="14" t="s">
        <v>127</v>
      </c>
      <c r="D47" s="16" t="s">
        <v>22</v>
      </c>
      <c r="E47" s="16" t="s">
        <v>128</v>
      </c>
      <c r="F47" s="14" t="s">
        <v>27</v>
      </c>
      <c r="G47" s="16" t="s">
        <v>131</v>
      </c>
    </row>
    <row r="48" spans="1:7" ht="16" x14ac:dyDescent="0.2">
      <c r="A48" s="14" t="s">
        <v>132</v>
      </c>
      <c r="B48" s="15">
        <v>2</v>
      </c>
      <c r="C48" s="14" t="s">
        <v>127</v>
      </c>
      <c r="D48" s="16" t="s">
        <v>22</v>
      </c>
      <c r="E48" s="16" t="s">
        <v>128</v>
      </c>
      <c r="F48" s="14" t="s">
        <v>30</v>
      </c>
      <c r="G48" s="16" t="s">
        <v>133</v>
      </c>
    </row>
    <row r="49" spans="1:7" ht="16" x14ac:dyDescent="0.2">
      <c r="A49" s="14" t="s">
        <v>134</v>
      </c>
      <c r="B49" s="15">
        <v>1</v>
      </c>
      <c r="C49" s="14" t="s">
        <v>127</v>
      </c>
      <c r="D49" s="16" t="s">
        <v>22</v>
      </c>
      <c r="E49" s="16" t="s">
        <v>128</v>
      </c>
      <c r="F49" s="14" t="s">
        <v>33</v>
      </c>
      <c r="G49" s="16" t="s">
        <v>135</v>
      </c>
    </row>
    <row r="50" spans="1:7" ht="16" x14ac:dyDescent="0.2">
      <c r="A50" s="11" t="s">
        <v>136</v>
      </c>
      <c r="B50" s="12">
        <v>9</v>
      </c>
      <c r="C50" s="11" t="s">
        <v>137</v>
      </c>
      <c r="D50" s="13" t="s">
        <v>138</v>
      </c>
      <c r="E50" s="13" t="s">
        <v>139</v>
      </c>
      <c r="F50" s="11" t="s">
        <v>24</v>
      </c>
      <c r="G50" s="13" t="s">
        <v>140</v>
      </c>
    </row>
    <row r="51" spans="1:7" ht="16" x14ac:dyDescent="0.2">
      <c r="A51" s="11" t="s">
        <v>141</v>
      </c>
      <c r="B51" s="12">
        <v>7</v>
      </c>
      <c r="C51" s="11" t="s">
        <v>137</v>
      </c>
      <c r="D51" s="13" t="s">
        <v>138</v>
      </c>
      <c r="E51" s="13" t="s">
        <v>139</v>
      </c>
      <c r="F51" s="11" t="s">
        <v>27</v>
      </c>
      <c r="G51" s="13" t="s">
        <v>142</v>
      </c>
    </row>
    <row r="52" spans="1:7" ht="16" x14ac:dyDescent="0.2">
      <c r="A52" s="11" t="s">
        <v>143</v>
      </c>
      <c r="B52" s="12">
        <v>5</v>
      </c>
      <c r="C52" s="11" t="s">
        <v>137</v>
      </c>
      <c r="D52" s="13" t="s">
        <v>138</v>
      </c>
      <c r="E52" s="13" t="s">
        <v>139</v>
      </c>
      <c r="F52" s="11" t="s">
        <v>30</v>
      </c>
      <c r="G52" s="13" t="s">
        <v>144</v>
      </c>
    </row>
    <row r="53" spans="1:7" ht="16" x14ac:dyDescent="0.2">
      <c r="A53" s="11" t="s">
        <v>145</v>
      </c>
      <c r="B53" s="12">
        <v>3</v>
      </c>
      <c r="C53" s="11" t="s">
        <v>137</v>
      </c>
      <c r="D53" s="13" t="s">
        <v>138</v>
      </c>
      <c r="E53" s="13" t="s">
        <v>139</v>
      </c>
      <c r="F53" s="11" t="s">
        <v>33</v>
      </c>
      <c r="G53" s="13" t="s">
        <v>146</v>
      </c>
    </row>
    <row r="54" spans="1:7" ht="16" x14ac:dyDescent="0.2">
      <c r="A54" s="11" t="s">
        <v>147</v>
      </c>
      <c r="B54" s="12">
        <v>2</v>
      </c>
      <c r="C54" s="11" t="s">
        <v>137</v>
      </c>
      <c r="D54" s="13" t="s">
        <v>138</v>
      </c>
      <c r="E54" s="13" t="s">
        <v>139</v>
      </c>
      <c r="F54" s="11" t="s">
        <v>36</v>
      </c>
      <c r="G54" s="13" t="s">
        <v>148</v>
      </c>
    </row>
    <row r="55" spans="1:7" ht="16" x14ac:dyDescent="0.2">
      <c r="A55" s="14" t="s">
        <v>149</v>
      </c>
      <c r="B55" s="15">
        <v>8</v>
      </c>
      <c r="C55" s="14" t="s">
        <v>150</v>
      </c>
      <c r="D55" s="16" t="s">
        <v>138</v>
      </c>
      <c r="E55" s="16" t="s">
        <v>151</v>
      </c>
      <c r="F55" s="14" t="s">
        <v>24</v>
      </c>
      <c r="G55" s="16" t="s">
        <v>152</v>
      </c>
    </row>
    <row r="56" spans="1:7" ht="16" x14ac:dyDescent="0.2">
      <c r="A56" s="14" t="s">
        <v>153</v>
      </c>
      <c r="B56" s="15">
        <v>6</v>
      </c>
      <c r="C56" s="14" t="s">
        <v>150</v>
      </c>
      <c r="D56" s="16" t="s">
        <v>138</v>
      </c>
      <c r="E56" s="16" t="s">
        <v>151</v>
      </c>
      <c r="F56" s="14" t="s">
        <v>27</v>
      </c>
      <c r="G56" s="16" t="s">
        <v>154</v>
      </c>
    </row>
    <row r="57" spans="1:7" ht="16" x14ac:dyDescent="0.2">
      <c r="A57" s="14" t="s">
        <v>155</v>
      </c>
      <c r="B57" s="15">
        <v>4</v>
      </c>
      <c r="C57" s="14" t="s">
        <v>150</v>
      </c>
      <c r="D57" s="16" t="s">
        <v>138</v>
      </c>
      <c r="E57" s="16" t="s">
        <v>151</v>
      </c>
      <c r="F57" s="14" t="s">
        <v>30</v>
      </c>
      <c r="G57" s="16" t="s">
        <v>156</v>
      </c>
    </row>
    <row r="58" spans="1:7" ht="16" x14ac:dyDescent="0.2">
      <c r="A58" s="14" t="s">
        <v>157</v>
      </c>
      <c r="B58" s="15">
        <v>2</v>
      </c>
      <c r="C58" s="14" t="s">
        <v>150</v>
      </c>
      <c r="D58" s="16" t="s">
        <v>138</v>
      </c>
      <c r="E58" s="16" t="s">
        <v>151</v>
      </c>
      <c r="F58" s="14" t="s">
        <v>33</v>
      </c>
      <c r="G58" s="16" t="s">
        <v>158</v>
      </c>
    </row>
    <row r="59" spans="1:7" ht="16" x14ac:dyDescent="0.2">
      <c r="A59" s="14" t="s">
        <v>159</v>
      </c>
      <c r="B59" s="15">
        <v>1</v>
      </c>
      <c r="C59" s="14" t="s">
        <v>150</v>
      </c>
      <c r="D59" s="16" t="s">
        <v>138</v>
      </c>
      <c r="E59" s="16" t="s">
        <v>151</v>
      </c>
      <c r="F59" s="14" t="s">
        <v>36</v>
      </c>
      <c r="G59" s="16" t="s">
        <v>160</v>
      </c>
    </row>
    <row r="60" spans="1:7" ht="32" x14ac:dyDescent="0.2">
      <c r="A60" s="11" t="s">
        <v>161</v>
      </c>
      <c r="B60" s="12">
        <v>8</v>
      </c>
      <c r="C60" s="11" t="s">
        <v>162</v>
      </c>
      <c r="D60" s="13" t="s">
        <v>138</v>
      </c>
      <c r="E60" s="13" t="s">
        <v>163</v>
      </c>
      <c r="F60" s="11" t="s">
        <v>24</v>
      </c>
      <c r="G60" s="13" t="s">
        <v>164</v>
      </c>
    </row>
    <row r="61" spans="1:7" ht="32" x14ac:dyDescent="0.2">
      <c r="A61" s="11" t="s">
        <v>165</v>
      </c>
      <c r="B61" s="12">
        <v>6</v>
      </c>
      <c r="C61" s="11" t="s">
        <v>162</v>
      </c>
      <c r="D61" s="13" t="s">
        <v>138</v>
      </c>
      <c r="E61" s="13" t="s">
        <v>163</v>
      </c>
      <c r="F61" s="11" t="s">
        <v>27</v>
      </c>
      <c r="G61" s="13" t="s">
        <v>166</v>
      </c>
    </row>
    <row r="62" spans="1:7" ht="32" x14ac:dyDescent="0.2">
      <c r="A62" s="11" t="s">
        <v>167</v>
      </c>
      <c r="B62" s="12">
        <v>4</v>
      </c>
      <c r="C62" s="11" t="s">
        <v>162</v>
      </c>
      <c r="D62" s="13" t="s">
        <v>138</v>
      </c>
      <c r="E62" s="13" t="s">
        <v>163</v>
      </c>
      <c r="F62" s="11" t="s">
        <v>30</v>
      </c>
      <c r="G62" s="13" t="s">
        <v>168</v>
      </c>
    </row>
    <row r="63" spans="1:7" ht="32" x14ac:dyDescent="0.2">
      <c r="A63" s="11" t="s">
        <v>169</v>
      </c>
      <c r="B63" s="12">
        <v>2.5</v>
      </c>
      <c r="C63" s="11" t="s">
        <v>162</v>
      </c>
      <c r="D63" s="13" t="s">
        <v>138</v>
      </c>
      <c r="E63" s="13" t="s">
        <v>163</v>
      </c>
      <c r="F63" s="11" t="s">
        <v>33</v>
      </c>
      <c r="G63" s="13" t="s">
        <v>170</v>
      </c>
    </row>
    <row r="64" spans="1:7" ht="32" x14ac:dyDescent="0.2">
      <c r="A64" s="11" t="s">
        <v>171</v>
      </c>
      <c r="B64" s="12">
        <v>1.5</v>
      </c>
      <c r="C64" s="11" t="s">
        <v>162</v>
      </c>
      <c r="D64" s="13" t="s">
        <v>138</v>
      </c>
      <c r="E64" s="13" t="s">
        <v>163</v>
      </c>
      <c r="F64" s="11" t="s">
        <v>36</v>
      </c>
      <c r="G64" s="13" t="s">
        <v>172</v>
      </c>
    </row>
    <row r="65" spans="1:7" ht="32" x14ac:dyDescent="0.2">
      <c r="A65" s="14" t="s">
        <v>173</v>
      </c>
      <c r="B65" s="15">
        <v>8</v>
      </c>
      <c r="C65" s="14" t="s">
        <v>174</v>
      </c>
      <c r="D65" s="16" t="s">
        <v>138</v>
      </c>
      <c r="E65" s="16" t="s">
        <v>175</v>
      </c>
      <c r="F65" s="14" t="s">
        <v>24</v>
      </c>
      <c r="G65" s="16" t="s">
        <v>176</v>
      </c>
    </row>
    <row r="66" spans="1:7" ht="32" x14ac:dyDescent="0.2">
      <c r="A66" s="14" t="s">
        <v>177</v>
      </c>
      <c r="B66" s="15">
        <v>6</v>
      </c>
      <c r="C66" s="14" t="s">
        <v>174</v>
      </c>
      <c r="D66" s="16" t="s">
        <v>138</v>
      </c>
      <c r="E66" s="16" t="s">
        <v>175</v>
      </c>
      <c r="F66" s="14" t="s">
        <v>27</v>
      </c>
      <c r="G66" s="16" t="s">
        <v>178</v>
      </c>
    </row>
    <row r="67" spans="1:7" ht="32" x14ac:dyDescent="0.2">
      <c r="A67" s="14" t="s">
        <v>179</v>
      </c>
      <c r="B67" s="15">
        <v>4</v>
      </c>
      <c r="C67" s="14" t="s">
        <v>174</v>
      </c>
      <c r="D67" s="16" t="s">
        <v>138</v>
      </c>
      <c r="E67" s="16" t="s">
        <v>175</v>
      </c>
      <c r="F67" s="14" t="s">
        <v>30</v>
      </c>
      <c r="G67" s="16" t="s">
        <v>180</v>
      </c>
    </row>
    <row r="68" spans="1:7" ht="32" x14ac:dyDescent="0.2">
      <c r="A68" s="14" t="s">
        <v>181</v>
      </c>
      <c r="B68" s="15">
        <v>2</v>
      </c>
      <c r="C68" s="14" t="s">
        <v>174</v>
      </c>
      <c r="D68" s="16" t="s">
        <v>138</v>
      </c>
      <c r="E68" s="16" t="s">
        <v>175</v>
      </c>
      <c r="F68" s="14" t="s">
        <v>33</v>
      </c>
      <c r="G68" s="16" t="s">
        <v>182</v>
      </c>
    </row>
    <row r="69" spans="1:7" ht="32" x14ac:dyDescent="0.2">
      <c r="A69" s="14" t="s">
        <v>183</v>
      </c>
      <c r="B69" s="15">
        <v>1</v>
      </c>
      <c r="C69" s="14" t="s">
        <v>174</v>
      </c>
      <c r="D69" s="16" t="s">
        <v>138</v>
      </c>
      <c r="E69" s="16" t="s">
        <v>175</v>
      </c>
      <c r="F69" s="14" t="s">
        <v>36</v>
      </c>
      <c r="G69" s="16" t="s">
        <v>184</v>
      </c>
    </row>
    <row r="70" spans="1:7" ht="32" x14ac:dyDescent="0.2">
      <c r="A70" s="11" t="s">
        <v>185</v>
      </c>
      <c r="B70" s="12">
        <v>8</v>
      </c>
      <c r="C70" s="11" t="s">
        <v>186</v>
      </c>
      <c r="D70" s="13" t="s">
        <v>138</v>
      </c>
      <c r="E70" s="13" t="s">
        <v>187</v>
      </c>
      <c r="F70" s="11" t="s">
        <v>24</v>
      </c>
      <c r="G70" s="13" t="s">
        <v>188</v>
      </c>
    </row>
    <row r="71" spans="1:7" ht="32" x14ac:dyDescent="0.2">
      <c r="A71" s="11" t="s">
        <v>189</v>
      </c>
      <c r="B71" s="12">
        <v>6</v>
      </c>
      <c r="C71" s="11" t="s">
        <v>186</v>
      </c>
      <c r="D71" s="13" t="s">
        <v>138</v>
      </c>
      <c r="E71" s="13" t="s">
        <v>187</v>
      </c>
      <c r="F71" s="11" t="s">
        <v>27</v>
      </c>
      <c r="G71" s="13" t="s">
        <v>190</v>
      </c>
    </row>
    <row r="72" spans="1:7" ht="32" x14ac:dyDescent="0.2">
      <c r="A72" s="11" t="s">
        <v>191</v>
      </c>
      <c r="B72" s="12">
        <v>4</v>
      </c>
      <c r="C72" s="11" t="s">
        <v>186</v>
      </c>
      <c r="D72" s="13" t="s">
        <v>138</v>
      </c>
      <c r="E72" s="13" t="s">
        <v>187</v>
      </c>
      <c r="F72" s="11" t="s">
        <v>30</v>
      </c>
      <c r="G72" s="13" t="s">
        <v>192</v>
      </c>
    </row>
    <row r="73" spans="1:7" ht="32" x14ac:dyDescent="0.2">
      <c r="A73" s="11" t="s">
        <v>193</v>
      </c>
      <c r="B73" s="12">
        <v>2.5</v>
      </c>
      <c r="C73" s="11" t="s">
        <v>186</v>
      </c>
      <c r="D73" s="13" t="s">
        <v>138</v>
      </c>
      <c r="E73" s="13" t="s">
        <v>187</v>
      </c>
      <c r="F73" s="11" t="s">
        <v>33</v>
      </c>
      <c r="G73" s="13" t="s">
        <v>194</v>
      </c>
    </row>
    <row r="74" spans="1:7" ht="32" x14ac:dyDescent="0.2">
      <c r="A74" s="11" t="s">
        <v>195</v>
      </c>
      <c r="B74" s="12">
        <v>1.5</v>
      </c>
      <c r="C74" s="11" t="s">
        <v>186</v>
      </c>
      <c r="D74" s="13" t="s">
        <v>138</v>
      </c>
      <c r="E74" s="13" t="s">
        <v>187</v>
      </c>
      <c r="F74" s="11" t="s">
        <v>36</v>
      </c>
      <c r="G74" s="13" t="s">
        <v>196</v>
      </c>
    </row>
    <row r="75" spans="1:7" ht="32" x14ac:dyDescent="0.2">
      <c r="A75" s="14" t="s">
        <v>197</v>
      </c>
      <c r="B75" s="15">
        <v>8</v>
      </c>
      <c r="C75" s="14" t="s">
        <v>198</v>
      </c>
      <c r="D75" s="16" t="s">
        <v>138</v>
      </c>
      <c r="E75" s="16" t="s">
        <v>199</v>
      </c>
      <c r="F75" s="14" t="s">
        <v>24</v>
      </c>
      <c r="G75" s="16" t="s">
        <v>200</v>
      </c>
    </row>
    <row r="76" spans="1:7" ht="32" x14ac:dyDescent="0.2">
      <c r="A76" s="14" t="s">
        <v>201</v>
      </c>
      <c r="B76" s="15">
        <v>6</v>
      </c>
      <c r="C76" s="14" t="s">
        <v>198</v>
      </c>
      <c r="D76" s="16" t="s">
        <v>138</v>
      </c>
      <c r="E76" s="16" t="s">
        <v>199</v>
      </c>
      <c r="F76" s="14" t="s">
        <v>27</v>
      </c>
      <c r="G76" s="16" t="s">
        <v>202</v>
      </c>
    </row>
    <row r="77" spans="1:7" ht="32" x14ac:dyDescent="0.2">
      <c r="A77" s="14" t="s">
        <v>203</v>
      </c>
      <c r="B77" s="15">
        <v>4</v>
      </c>
      <c r="C77" s="14" t="s">
        <v>198</v>
      </c>
      <c r="D77" s="16" t="s">
        <v>138</v>
      </c>
      <c r="E77" s="16" t="s">
        <v>199</v>
      </c>
      <c r="F77" s="14" t="s">
        <v>30</v>
      </c>
      <c r="G77" s="16" t="s">
        <v>204</v>
      </c>
    </row>
    <row r="78" spans="1:7" ht="32" x14ac:dyDescent="0.2">
      <c r="A78" s="14" t="s">
        <v>205</v>
      </c>
      <c r="B78" s="15">
        <v>2</v>
      </c>
      <c r="C78" s="14" t="s">
        <v>198</v>
      </c>
      <c r="D78" s="16" t="s">
        <v>138</v>
      </c>
      <c r="E78" s="16" t="s">
        <v>199</v>
      </c>
      <c r="F78" s="14" t="s">
        <v>33</v>
      </c>
      <c r="G78" s="16" t="s">
        <v>206</v>
      </c>
    </row>
    <row r="79" spans="1:7" ht="32" x14ac:dyDescent="0.2">
      <c r="A79" s="14" t="s">
        <v>207</v>
      </c>
      <c r="B79" s="15">
        <v>1</v>
      </c>
      <c r="C79" s="14" t="s">
        <v>198</v>
      </c>
      <c r="D79" s="16" t="s">
        <v>138</v>
      </c>
      <c r="E79" s="16" t="s">
        <v>199</v>
      </c>
      <c r="F79" s="14" t="s">
        <v>36</v>
      </c>
      <c r="G79" s="16" t="s">
        <v>208</v>
      </c>
    </row>
    <row r="80" spans="1:7" ht="16" x14ac:dyDescent="0.2">
      <c r="A80" s="11" t="s">
        <v>209</v>
      </c>
      <c r="B80" s="12">
        <v>9</v>
      </c>
      <c r="C80" s="11" t="s">
        <v>210</v>
      </c>
      <c r="D80" s="13" t="s">
        <v>138</v>
      </c>
      <c r="E80" s="13" t="s">
        <v>211</v>
      </c>
      <c r="F80" s="11" t="s">
        <v>24</v>
      </c>
      <c r="G80" s="13" t="s">
        <v>212</v>
      </c>
    </row>
    <row r="81" spans="1:7" ht="16" x14ac:dyDescent="0.2">
      <c r="A81" s="11" t="s">
        <v>213</v>
      </c>
      <c r="B81" s="12">
        <v>7</v>
      </c>
      <c r="C81" s="11" t="s">
        <v>210</v>
      </c>
      <c r="D81" s="13" t="s">
        <v>138</v>
      </c>
      <c r="E81" s="13" t="s">
        <v>211</v>
      </c>
      <c r="F81" s="11" t="s">
        <v>27</v>
      </c>
      <c r="G81" s="13" t="s">
        <v>214</v>
      </c>
    </row>
    <row r="82" spans="1:7" ht="16" x14ac:dyDescent="0.2">
      <c r="A82" s="11" t="s">
        <v>215</v>
      </c>
      <c r="B82" s="12">
        <v>5</v>
      </c>
      <c r="C82" s="11" t="s">
        <v>210</v>
      </c>
      <c r="D82" s="13" t="s">
        <v>138</v>
      </c>
      <c r="E82" s="13" t="s">
        <v>211</v>
      </c>
      <c r="F82" s="11" t="s">
        <v>30</v>
      </c>
      <c r="G82" s="13" t="s">
        <v>216</v>
      </c>
    </row>
    <row r="83" spans="1:7" ht="16" x14ac:dyDescent="0.2">
      <c r="A83" s="11" t="s">
        <v>217</v>
      </c>
      <c r="B83" s="12">
        <v>2.5</v>
      </c>
      <c r="C83" s="11" t="s">
        <v>210</v>
      </c>
      <c r="D83" s="13" t="s">
        <v>138</v>
      </c>
      <c r="E83" s="13" t="s">
        <v>211</v>
      </c>
      <c r="F83" s="11" t="s">
        <v>33</v>
      </c>
      <c r="G83" s="13" t="s">
        <v>218</v>
      </c>
    </row>
    <row r="84" spans="1:7" ht="16" x14ac:dyDescent="0.2">
      <c r="A84" s="11" t="s">
        <v>219</v>
      </c>
      <c r="B84" s="12">
        <v>1.5</v>
      </c>
      <c r="C84" s="11" t="s">
        <v>210</v>
      </c>
      <c r="D84" s="13" t="s">
        <v>138</v>
      </c>
      <c r="E84" s="13" t="s">
        <v>211</v>
      </c>
      <c r="F84" s="11" t="s">
        <v>36</v>
      </c>
      <c r="G84" s="13" t="s">
        <v>220</v>
      </c>
    </row>
    <row r="85" spans="1:7" ht="32" x14ac:dyDescent="0.2">
      <c r="A85" s="14" t="s">
        <v>221</v>
      </c>
      <c r="B85" s="15">
        <v>9</v>
      </c>
      <c r="C85" s="14" t="s">
        <v>222</v>
      </c>
      <c r="D85" s="16" t="s">
        <v>138</v>
      </c>
      <c r="E85" s="16" t="s">
        <v>223</v>
      </c>
      <c r="F85" s="14" t="s">
        <v>24</v>
      </c>
      <c r="G85" s="16" t="s">
        <v>224</v>
      </c>
    </row>
    <row r="86" spans="1:7" ht="32" x14ac:dyDescent="0.2">
      <c r="A86" s="14" t="s">
        <v>225</v>
      </c>
      <c r="B86" s="15">
        <v>7</v>
      </c>
      <c r="C86" s="14" t="s">
        <v>222</v>
      </c>
      <c r="D86" s="16" t="s">
        <v>138</v>
      </c>
      <c r="E86" s="16" t="s">
        <v>223</v>
      </c>
      <c r="F86" s="14" t="s">
        <v>27</v>
      </c>
      <c r="G86" s="16" t="s">
        <v>202</v>
      </c>
    </row>
    <row r="87" spans="1:7" ht="32" x14ac:dyDescent="0.2">
      <c r="A87" s="14" t="s">
        <v>226</v>
      </c>
      <c r="B87" s="15">
        <v>5</v>
      </c>
      <c r="C87" s="14" t="s">
        <v>222</v>
      </c>
      <c r="D87" s="16" t="s">
        <v>138</v>
      </c>
      <c r="E87" s="16" t="s">
        <v>223</v>
      </c>
      <c r="F87" s="14" t="s">
        <v>30</v>
      </c>
      <c r="G87" s="16" t="s">
        <v>227</v>
      </c>
    </row>
    <row r="88" spans="1:7" ht="32" x14ac:dyDescent="0.2">
      <c r="A88" s="14" t="s">
        <v>228</v>
      </c>
      <c r="B88" s="15">
        <v>3</v>
      </c>
      <c r="C88" s="14" t="s">
        <v>222</v>
      </c>
      <c r="D88" s="16" t="s">
        <v>138</v>
      </c>
      <c r="E88" s="16" t="s">
        <v>223</v>
      </c>
      <c r="F88" s="14" t="s">
        <v>33</v>
      </c>
      <c r="G88" s="16" t="s">
        <v>229</v>
      </c>
    </row>
    <row r="89" spans="1:7" ht="32" x14ac:dyDescent="0.2">
      <c r="A89" s="14" t="s">
        <v>230</v>
      </c>
      <c r="B89" s="15">
        <v>1</v>
      </c>
      <c r="C89" s="14" t="s">
        <v>222</v>
      </c>
      <c r="D89" s="16" t="s">
        <v>138</v>
      </c>
      <c r="E89" s="16" t="s">
        <v>223</v>
      </c>
      <c r="F89" s="14" t="s">
        <v>36</v>
      </c>
      <c r="G89" s="16" t="s">
        <v>208</v>
      </c>
    </row>
    <row r="90" spans="1:7" ht="16" x14ac:dyDescent="0.2">
      <c r="A90" s="11" t="s">
        <v>231</v>
      </c>
      <c r="B90" s="12">
        <v>7</v>
      </c>
      <c r="C90" s="11" t="s">
        <v>232</v>
      </c>
      <c r="D90" s="13" t="s">
        <v>138</v>
      </c>
      <c r="E90" s="13" t="s">
        <v>233</v>
      </c>
      <c r="F90" s="11" t="s">
        <v>24</v>
      </c>
      <c r="G90" s="13" t="s">
        <v>234</v>
      </c>
    </row>
    <row r="91" spans="1:7" ht="16" x14ac:dyDescent="0.2">
      <c r="A91" s="11" t="s">
        <v>235</v>
      </c>
      <c r="B91" s="12">
        <v>5</v>
      </c>
      <c r="C91" s="11" t="s">
        <v>232</v>
      </c>
      <c r="D91" s="13" t="s">
        <v>138</v>
      </c>
      <c r="E91" s="13" t="s">
        <v>233</v>
      </c>
      <c r="F91" s="11" t="s">
        <v>27</v>
      </c>
      <c r="G91" s="13" t="s">
        <v>236</v>
      </c>
    </row>
    <row r="92" spans="1:7" ht="16" x14ac:dyDescent="0.2">
      <c r="A92" s="11" t="s">
        <v>237</v>
      </c>
      <c r="B92" s="12">
        <v>3</v>
      </c>
      <c r="C92" s="11" t="s">
        <v>232</v>
      </c>
      <c r="D92" s="13" t="s">
        <v>138</v>
      </c>
      <c r="E92" s="13" t="s">
        <v>233</v>
      </c>
      <c r="F92" s="11" t="s">
        <v>30</v>
      </c>
      <c r="G92" s="13" t="s">
        <v>238</v>
      </c>
    </row>
    <row r="93" spans="1:7" ht="16" x14ac:dyDescent="0.2">
      <c r="A93" s="11" t="s">
        <v>239</v>
      </c>
      <c r="B93" s="12">
        <v>2</v>
      </c>
      <c r="C93" s="11" t="s">
        <v>232</v>
      </c>
      <c r="D93" s="13" t="s">
        <v>138</v>
      </c>
      <c r="E93" s="13" t="s">
        <v>233</v>
      </c>
      <c r="F93" s="11" t="s">
        <v>33</v>
      </c>
      <c r="G93" s="13" t="s">
        <v>240</v>
      </c>
    </row>
    <row r="94" spans="1:7" ht="16" x14ac:dyDescent="0.2">
      <c r="A94" s="14" t="s">
        <v>241</v>
      </c>
      <c r="B94" s="15">
        <v>9</v>
      </c>
      <c r="C94" s="14" t="s">
        <v>242</v>
      </c>
      <c r="D94" s="16" t="s">
        <v>138</v>
      </c>
      <c r="E94" s="16" t="s">
        <v>243</v>
      </c>
      <c r="F94" s="14" t="s">
        <v>24</v>
      </c>
      <c r="G94" s="16" t="s">
        <v>244</v>
      </c>
    </row>
    <row r="95" spans="1:7" ht="16" x14ac:dyDescent="0.2">
      <c r="A95" s="14" t="s">
        <v>245</v>
      </c>
      <c r="B95" s="15">
        <v>7</v>
      </c>
      <c r="C95" s="14" t="s">
        <v>242</v>
      </c>
      <c r="D95" s="16" t="s">
        <v>138</v>
      </c>
      <c r="E95" s="16" t="s">
        <v>243</v>
      </c>
      <c r="F95" s="14" t="s">
        <v>27</v>
      </c>
      <c r="G95" s="16" t="s">
        <v>246</v>
      </c>
    </row>
    <row r="96" spans="1:7" ht="16" x14ac:dyDescent="0.2">
      <c r="A96" s="14" t="s">
        <v>247</v>
      </c>
      <c r="B96" s="15">
        <v>4</v>
      </c>
      <c r="C96" s="14" t="s">
        <v>242</v>
      </c>
      <c r="D96" s="16" t="s">
        <v>138</v>
      </c>
      <c r="E96" s="16" t="s">
        <v>243</v>
      </c>
      <c r="F96" s="14" t="s">
        <v>30</v>
      </c>
      <c r="G96" s="16" t="s">
        <v>248</v>
      </c>
    </row>
    <row r="97" spans="1:7" ht="16" x14ac:dyDescent="0.2">
      <c r="A97" s="14" t="s">
        <v>249</v>
      </c>
      <c r="B97" s="15">
        <v>2</v>
      </c>
      <c r="C97" s="14" t="s">
        <v>242</v>
      </c>
      <c r="D97" s="16" t="s">
        <v>138</v>
      </c>
      <c r="E97" s="16" t="s">
        <v>243</v>
      </c>
      <c r="F97" s="14" t="s">
        <v>33</v>
      </c>
      <c r="G97" s="16" t="s">
        <v>250</v>
      </c>
    </row>
    <row r="98" spans="1:7" ht="16" x14ac:dyDescent="0.2">
      <c r="A98" s="11" t="s">
        <v>251</v>
      </c>
      <c r="B98" s="12">
        <v>9</v>
      </c>
      <c r="C98" s="11" t="s">
        <v>252</v>
      </c>
      <c r="D98" s="13" t="s">
        <v>253</v>
      </c>
      <c r="E98" s="13" t="s">
        <v>254</v>
      </c>
      <c r="F98" s="11" t="s">
        <v>24</v>
      </c>
      <c r="G98" s="13" t="s">
        <v>255</v>
      </c>
    </row>
    <row r="99" spans="1:7" ht="16" x14ac:dyDescent="0.2">
      <c r="A99" s="11" t="s">
        <v>256</v>
      </c>
      <c r="B99" s="12">
        <v>7</v>
      </c>
      <c r="C99" s="11" t="s">
        <v>252</v>
      </c>
      <c r="D99" s="13" t="s">
        <v>253</v>
      </c>
      <c r="E99" s="13" t="s">
        <v>254</v>
      </c>
      <c r="F99" s="11" t="s">
        <v>27</v>
      </c>
      <c r="G99" s="13" t="s">
        <v>257</v>
      </c>
    </row>
    <row r="100" spans="1:7" ht="16" x14ac:dyDescent="0.2">
      <c r="A100" s="11" t="s">
        <v>258</v>
      </c>
      <c r="B100" s="12">
        <v>4</v>
      </c>
      <c r="C100" s="11" t="s">
        <v>252</v>
      </c>
      <c r="D100" s="13" t="s">
        <v>253</v>
      </c>
      <c r="E100" s="13" t="s">
        <v>254</v>
      </c>
      <c r="F100" s="11" t="s">
        <v>30</v>
      </c>
      <c r="G100" s="13" t="s">
        <v>259</v>
      </c>
    </row>
    <row r="101" spans="1:7" ht="16" x14ac:dyDescent="0.2">
      <c r="A101" s="11" t="s">
        <v>260</v>
      </c>
      <c r="B101" s="12">
        <v>2</v>
      </c>
      <c r="C101" s="11" t="s">
        <v>252</v>
      </c>
      <c r="D101" s="13" t="s">
        <v>253</v>
      </c>
      <c r="E101" s="13" t="s">
        <v>254</v>
      </c>
      <c r="F101" s="11" t="s">
        <v>33</v>
      </c>
      <c r="G101" s="13" t="s">
        <v>261</v>
      </c>
    </row>
    <row r="102" spans="1:7" ht="16" x14ac:dyDescent="0.2">
      <c r="A102" s="14" t="s">
        <v>262</v>
      </c>
      <c r="B102" s="15">
        <v>9</v>
      </c>
      <c r="C102" s="14" t="s">
        <v>263</v>
      </c>
      <c r="D102" s="16" t="s">
        <v>253</v>
      </c>
      <c r="E102" s="16" t="s">
        <v>264</v>
      </c>
      <c r="F102" s="14" t="s">
        <v>24</v>
      </c>
      <c r="G102" s="16" t="s">
        <v>265</v>
      </c>
    </row>
    <row r="103" spans="1:7" ht="16" x14ac:dyDescent="0.2">
      <c r="A103" s="14" t="s">
        <v>266</v>
      </c>
      <c r="B103" s="15">
        <v>7</v>
      </c>
      <c r="C103" s="14" t="s">
        <v>263</v>
      </c>
      <c r="D103" s="16" t="s">
        <v>253</v>
      </c>
      <c r="E103" s="16" t="s">
        <v>264</v>
      </c>
      <c r="F103" s="14" t="s">
        <v>27</v>
      </c>
      <c r="G103" s="16" t="s">
        <v>267</v>
      </c>
    </row>
    <row r="104" spans="1:7" ht="16" x14ac:dyDescent="0.2">
      <c r="A104" s="14" t="s">
        <v>268</v>
      </c>
      <c r="B104" s="15">
        <v>4</v>
      </c>
      <c r="C104" s="14" t="s">
        <v>263</v>
      </c>
      <c r="D104" s="16" t="s">
        <v>253</v>
      </c>
      <c r="E104" s="16" t="s">
        <v>264</v>
      </c>
      <c r="F104" s="14" t="s">
        <v>30</v>
      </c>
      <c r="G104" s="16" t="s">
        <v>269</v>
      </c>
    </row>
    <row r="105" spans="1:7" ht="16" x14ac:dyDescent="0.2">
      <c r="A105" s="14" t="s">
        <v>270</v>
      </c>
      <c r="B105" s="15">
        <v>1</v>
      </c>
      <c r="C105" s="14" t="s">
        <v>263</v>
      </c>
      <c r="D105" s="16" t="s">
        <v>253</v>
      </c>
      <c r="E105" s="16" t="s">
        <v>264</v>
      </c>
      <c r="F105" s="14" t="s">
        <v>33</v>
      </c>
      <c r="G105" s="16" t="s">
        <v>271</v>
      </c>
    </row>
    <row r="106" spans="1:7" ht="16" x14ac:dyDescent="0.2">
      <c r="A106" s="11" t="s">
        <v>272</v>
      </c>
      <c r="B106" s="12">
        <v>8</v>
      </c>
      <c r="C106" s="11" t="s">
        <v>273</v>
      </c>
      <c r="D106" s="13" t="s">
        <v>253</v>
      </c>
      <c r="E106" s="13" t="s">
        <v>274</v>
      </c>
      <c r="F106" s="11" t="s">
        <v>24</v>
      </c>
      <c r="G106" s="13" t="s">
        <v>275</v>
      </c>
    </row>
    <row r="107" spans="1:7" ht="16" x14ac:dyDescent="0.2">
      <c r="A107" s="11" t="s">
        <v>276</v>
      </c>
      <c r="B107" s="12">
        <v>6</v>
      </c>
      <c r="C107" s="11" t="s">
        <v>273</v>
      </c>
      <c r="D107" s="13" t="s">
        <v>253</v>
      </c>
      <c r="E107" s="13" t="s">
        <v>274</v>
      </c>
      <c r="F107" s="11" t="s">
        <v>27</v>
      </c>
      <c r="G107" s="13" t="s">
        <v>277</v>
      </c>
    </row>
    <row r="108" spans="1:7" ht="16" x14ac:dyDescent="0.2">
      <c r="A108" s="11" t="s">
        <v>278</v>
      </c>
      <c r="B108" s="12">
        <v>4</v>
      </c>
      <c r="C108" s="11" t="s">
        <v>273</v>
      </c>
      <c r="D108" s="13" t="s">
        <v>253</v>
      </c>
      <c r="E108" s="13" t="s">
        <v>274</v>
      </c>
      <c r="F108" s="11" t="s">
        <v>30</v>
      </c>
      <c r="G108" s="13" t="s">
        <v>279</v>
      </c>
    </row>
    <row r="109" spans="1:7" ht="16" x14ac:dyDescent="0.2">
      <c r="A109" s="11" t="s">
        <v>280</v>
      </c>
      <c r="B109" s="12">
        <v>2</v>
      </c>
      <c r="C109" s="11" t="s">
        <v>273</v>
      </c>
      <c r="D109" s="13" t="s">
        <v>253</v>
      </c>
      <c r="E109" s="13" t="s">
        <v>274</v>
      </c>
      <c r="F109" s="11" t="s">
        <v>33</v>
      </c>
      <c r="G109" s="13" t="s">
        <v>281</v>
      </c>
    </row>
    <row r="110" spans="1:7" ht="32" x14ac:dyDescent="0.2">
      <c r="A110" s="14" t="s">
        <v>282</v>
      </c>
      <c r="B110" s="15">
        <v>8</v>
      </c>
      <c r="C110" s="14" t="s">
        <v>283</v>
      </c>
      <c r="D110" s="16" t="s">
        <v>253</v>
      </c>
      <c r="E110" s="16" t="s">
        <v>284</v>
      </c>
      <c r="F110" s="14" t="s">
        <v>24</v>
      </c>
      <c r="G110" s="16" t="s">
        <v>285</v>
      </c>
    </row>
    <row r="111" spans="1:7" ht="32" x14ac:dyDescent="0.2">
      <c r="A111" s="14" t="s">
        <v>286</v>
      </c>
      <c r="B111" s="15">
        <v>6</v>
      </c>
      <c r="C111" s="14" t="s">
        <v>283</v>
      </c>
      <c r="D111" s="16" t="s">
        <v>253</v>
      </c>
      <c r="E111" s="16" t="s">
        <v>284</v>
      </c>
      <c r="F111" s="14" t="s">
        <v>27</v>
      </c>
      <c r="G111" s="16" t="s">
        <v>287</v>
      </c>
    </row>
    <row r="112" spans="1:7" ht="32" x14ac:dyDescent="0.2">
      <c r="A112" s="14" t="s">
        <v>288</v>
      </c>
      <c r="B112" s="15">
        <v>4</v>
      </c>
      <c r="C112" s="14" t="s">
        <v>283</v>
      </c>
      <c r="D112" s="16" t="s">
        <v>253</v>
      </c>
      <c r="E112" s="16" t="s">
        <v>284</v>
      </c>
      <c r="F112" s="14" t="s">
        <v>30</v>
      </c>
      <c r="G112" s="16" t="s">
        <v>289</v>
      </c>
    </row>
    <row r="113" spans="1:7" ht="32" x14ac:dyDescent="0.2">
      <c r="A113" s="14" t="s">
        <v>290</v>
      </c>
      <c r="B113" s="15">
        <v>2</v>
      </c>
      <c r="C113" s="14" t="s">
        <v>283</v>
      </c>
      <c r="D113" s="16" t="s">
        <v>253</v>
      </c>
      <c r="E113" s="16" t="s">
        <v>284</v>
      </c>
      <c r="F113" s="14" t="s">
        <v>33</v>
      </c>
      <c r="G113" s="16" t="s">
        <v>291</v>
      </c>
    </row>
    <row r="114" spans="1:7" ht="16" x14ac:dyDescent="0.2">
      <c r="A114" s="11" t="s">
        <v>292</v>
      </c>
      <c r="B114" s="12">
        <v>8</v>
      </c>
      <c r="C114" s="11" t="s">
        <v>293</v>
      </c>
      <c r="D114" s="13" t="s">
        <v>253</v>
      </c>
      <c r="E114" s="13" t="s">
        <v>294</v>
      </c>
      <c r="F114" s="11" t="s">
        <v>24</v>
      </c>
      <c r="G114" s="13" t="s">
        <v>295</v>
      </c>
    </row>
    <row r="115" spans="1:7" ht="16" x14ac:dyDescent="0.2">
      <c r="A115" s="11" t="s">
        <v>296</v>
      </c>
      <c r="B115" s="12">
        <v>6</v>
      </c>
      <c r="C115" s="11" t="s">
        <v>293</v>
      </c>
      <c r="D115" s="13" t="s">
        <v>253</v>
      </c>
      <c r="E115" s="13" t="s">
        <v>294</v>
      </c>
      <c r="F115" s="11" t="s">
        <v>27</v>
      </c>
      <c r="G115" s="13" t="s">
        <v>297</v>
      </c>
    </row>
    <row r="116" spans="1:7" ht="16" x14ac:dyDescent="0.2">
      <c r="A116" s="11" t="s">
        <v>298</v>
      </c>
      <c r="B116" s="12">
        <v>4</v>
      </c>
      <c r="C116" s="11" t="s">
        <v>293</v>
      </c>
      <c r="D116" s="13" t="s">
        <v>253</v>
      </c>
      <c r="E116" s="13" t="s">
        <v>294</v>
      </c>
      <c r="F116" s="11" t="s">
        <v>30</v>
      </c>
      <c r="G116" s="13" t="s">
        <v>299</v>
      </c>
    </row>
    <row r="117" spans="1:7" ht="16" x14ac:dyDescent="0.2">
      <c r="A117" s="11" t="s">
        <v>300</v>
      </c>
      <c r="B117" s="12">
        <v>1</v>
      </c>
      <c r="C117" s="11" t="s">
        <v>293</v>
      </c>
      <c r="D117" s="13" t="s">
        <v>253</v>
      </c>
      <c r="E117" s="13" t="s">
        <v>294</v>
      </c>
      <c r="F117" s="11" t="s">
        <v>33</v>
      </c>
      <c r="G117" s="13" t="s">
        <v>301</v>
      </c>
    </row>
    <row r="118" spans="1:7" ht="16" x14ac:dyDescent="0.2">
      <c r="A118" s="14" t="s">
        <v>302</v>
      </c>
      <c r="B118" s="15">
        <v>9</v>
      </c>
      <c r="C118" s="14" t="s">
        <v>303</v>
      </c>
      <c r="D118" s="16" t="s">
        <v>253</v>
      </c>
      <c r="E118" s="16" t="s">
        <v>304</v>
      </c>
      <c r="F118" s="14" t="s">
        <v>24</v>
      </c>
      <c r="G118" s="16" t="s">
        <v>305</v>
      </c>
    </row>
    <row r="119" spans="1:7" ht="16" x14ac:dyDescent="0.2">
      <c r="A119" s="14" t="s">
        <v>306</v>
      </c>
      <c r="B119" s="15">
        <v>7</v>
      </c>
      <c r="C119" s="14" t="s">
        <v>303</v>
      </c>
      <c r="D119" s="16" t="s">
        <v>253</v>
      </c>
      <c r="E119" s="16" t="s">
        <v>304</v>
      </c>
      <c r="F119" s="14" t="s">
        <v>27</v>
      </c>
      <c r="G119" s="16" t="s">
        <v>307</v>
      </c>
    </row>
    <row r="120" spans="1:7" ht="16" x14ac:dyDescent="0.2">
      <c r="A120" s="14" t="s">
        <v>308</v>
      </c>
      <c r="B120" s="15">
        <v>4</v>
      </c>
      <c r="C120" s="14" t="s">
        <v>303</v>
      </c>
      <c r="D120" s="16" t="s">
        <v>253</v>
      </c>
      <c r="E120" s="16" t="s">
        <v>304</v>
      </c>
      <c r="F120" s="14" t="s">
        <v>30</v>
      </c>
      <c r="G120" s="16" t="s">
        <v>309</v>
      </c>
    </row>
    <row r="121" spans="1:7" ht="16" x14ac:dyDescent="0.2">
      <c r="A121" s="14" t="s">
        <v>310</v>
      </c>
      <c r="B121" s="15">
        <v>2</v>
      </c>
      <c r="C121" s="14" t="s">
        <v>303</v>
      </c>
      <c r="D121" s="16" t="s">
        <v>253</v>
      </c>
      <c r="E121" s="16" t="s">
        <v>304</v>
      </c>
      <c r="F121" s="14" t="s">
        <v>33</v>
      </c>
      <c r="G121" s="16" t="s">
        <v>311</v>
      </c>
    </row>
    <row r="122" spans="1:7" ht="16" x14ac:dyDescent="0.2">
      <c r="A122" s="14" t="s">
        <v>312</v>
      </c>
      <c r="B122" s="15">
        <v>1</v>
      </c>
      <c r="C122" s="14" t="s">
        <v>303</v>
      </c>
      <c r="D122" s="16" t="s">
        <v>253</v>
      </c>
      <c r="E122" s="16" t="s">
        <v>304</v>
      </c>
      <c r="F122" s="14" t="s">
        <v>36</v>
      </c>
      <c r="G122" s="16" t="s">
        <v>313</v>
      </c>
    </row>
    <row r="123" spans="1:7" ht="16" x14ac:dyDescent="0.2">
      <c r="A123" s="11" t="s">
        <v>314</v>
      </c>
      <c r="B123" s="12">
        <v>9</v>
      </c>
      <c r="C123" s="11" t="s">
        <v>315</v>
      </c>
      <c r="D123" s="13" t="s">
        <v>253</v>
      </c>
      <c r="E123" s="13" t="s">
        <v>316</v>
      </c>
      <c r="F123" s="11" t="s">
        <v>24</v>
      </c>
      <c r="G123" s="13" t="s">
        <v>317</v>
      </c>
    </row>
    <row r="124" spans="1:7" ht="16" x14ac:dyDescent="0.2">
      <c r="A124" s="11" t="s">
        <v>318</v>
      </c>
      <c r="B124" s="12">
        <v>7</v>
      </c>
      <c r="C124" s="11" t="s">
        <v>315</v>
      </c>
      <c r="D124" s="13" t="s">
        <v>253</v>
      </c>
      <c r="E124" s="13" t="s">
        <v>316</v>
      </c>
      <c r="F124" s="11" t="s">
        <v>27</v>
      </c>
      <c r="G124" s="13" t="s">
        <v>319</v>
      </c>
    </row>
    <row r="125" spans="1:7" ht="16" x14ac:dyDescent="0.2">
      <c r="A125" s="11" t="s">
        <v>320</v>
      </c>
      <c r="B125" s="12">
        <v>4</v>
      </c>
      <c r="C125" s="11" t="s">
        <v>315</v>
      </c>
      <c r="D125" s="13" t="s">
        <v>253</v>
      </c>
      <c r="E125" s="13" t="s">
        <v>316</v>
      </c>
      <c r="F125" s="11" t="s">
        <v>30</v>
      </c>
      <c r="G125" s="13" t="s">
        <v>321</v>
      </c>
    </row>
    <row r="126" spans="1:7" ht="16" x14ac:dyDescent="0.2">
      <c r="A126" s="11" t="s">
        <v>322</v>
      </c>
      <c r="B126" s="12">
        <v>2</v>
      </c>
      <c r="C126" s="11" t="s">
        <v>315</v>
      </c>
      <c r="D126" s="13" t="s">
        <v>253</v>
      </c>
      <c r="E126" s="13" t="s">
        <v>316</v>
      </c>
      <c r="F126" s="11" t="s">
        <v>33</v>
      </c>
      <c r="G126" s="13" t="s">
        <v>323</v>
      </c>
    </row>
    <row r="127" spans="1:7" ht="16" x14ac:dyDescent="0.2">
      <c r="A127" s="11" t="s">
        <v>324</v>
      </c>
      <c r="B127" s="12">
        <v>1</v>
      </c>
      <c r="C127" s="11" t="s">
        <v>315</v>
      </c>
      <c r="D127" s="13" t="s">
        <v>253</v>
      </c>
      <c r="E127" s="13" t="s">
        <v>316</v>
      </c>
      <c r="F127" s="11" t="s">
        <v>36</v>
      </c>
      <c r="G127" s="13" t="s">
        <v>325</v>
      </c>
    </row>
    <row r="128" spans="1:7" ht="16" x14ac:dyDescent="0.2">
      <c r="A128" s="14" t="s">
        <v>326</v>
      </c>
      <c r="B128" s="15">
        <v>8</v>
      </c>
      <c r="C128" s="14" t="s">
        <v>327</v>
      </c>
      <c r="D128" s="16" t="s">
        <v>253</v>
      </c>
      <c r="E128" s="16" t="s">
        <v>328</v>
      </c>
      <c r="F128" s="14" t="s">
        <v>24</v>
      </c>
      <c r="G128" s="16" t="s">
        <v>329</v>
      </c>
    </row>
    <row r="129" spans="1:7" ht="16" x14ac:dyDescent="0.2">
      <c r="A129" s="14" t="s">
        <v>330</v>
      </c>
      <c r="B129" s="15">
        <v>5</v>
      </c>
      <c r="C129" s="14" t="s">
        <v>327</v>
      </c>
      <c r="D129" s="16" t="s">
        <v>253</v>
      </c>
      <c r="E129" s="16" t="s">
        <v>328</v>
      </c>
      <c r="F129" s="14" t="s">
        <v>27</v>
      </c>
      <c r="G129" s="16" t="s">
        <v>331</v>
      </c>
    </row>
    <row r="130" spans="1:7" ht="16" x14ac:dyDescent="0.2">
      <c r="A130" s="14" t="s">
        <v>332</v>
      </c>
      <c r="B130" s="15">
        <v>3</v>
      </c>
      <c r="C130" s="14" t="s">
        <v>327</v>
      </c>
      <c r="D130" s="16" t="s">
        <v>253</v>
      </c>
      <c r="E130" s="16" t="s">
        <v>328</v>
      </c>
      <c r="F130" s="14" t="s">
        <v>30</v>
      </c>
      <c r="G130" s="16" t="s">
        <v>333</v>
      </c>
    </row>
    <row r="131" spans="1:7" ht="16" x14ac:dyDescent="0.2">
      <c r="A131" s="14" t="s">
        <v>334</v>
      </c>
      <c r="B131" s="15">
        <v>1</v>
      </c>
      <c r="C131" s="14" t="s">
        <v>327</v>
      </c>
      <c r="D131" s="16" t="s">
        <v>253</v>
      </c>
      <c r="E131" s="16" t="s">
        <v>328</v>
      </c>
      <c r="F131" s="14" t="s">
        <v>33</v>
      </c>
      <c r="G131" s="16" t="s">
        <v>335</v>
      </c>
    </row>
    <row r="132" spans="1:7" ht="16" x14ac:dyDescent="0.2">
      <c r="A132" s="11" t="s">
        <v>336</v>
      </c>
      <c r="B132" s="12">
        <v>8</v>
      </c>
      <c r="C132" s="11" t="s">
        <v>337</v>
      </c>
      <c r="D132" s="13" t="s">
        <v>253</v>
      </c>
      <c r="E132" s="13" t="s">
        <v>338</v>
      </c>
      <c r="F132" s="11" t="s">
        <v>24</v>
      </c>
      <c r="G132" s="13" t="s">
        <v>339</v>
      </c>
    </row>
    <row r="133" spans="1:7" ht="16" x14ac:dyDescent="0.2">
      <c r="A133" s="11" t="s">
        <v>340</v>
      </c>
      <c r="B133" s="12">
        <v>6</v>
      </c>
      <c r="C133" s="11" t="s">
        <v>337</v>
      </c>
      <c r="D133" s="13" t="s">
        <v>253</v>
      </c>
      <c r="E133" s="13" t="s">
        <v>338</v>
      </c>
      <c r="F133" s="11" t="s">
        <v>27</v>
      </c>
      <c r="G133" s="13" t="s">
        <v>341</v>
      </c>
    </row>
    <row r="134" spans="1:7" ht="16" x14ac:dyDescent="0.2">
      <c r="A134" s="11" t="s">
        <v>342</v>
      </c>
      <c r="B134" s="12">
        <v>4</v>
      </c>
      <c r="C134" s="11" t="s">
        <v>337</v>
      </c>
      <c r="D134" s="13" t="s">
        <v>253</v>
      </c>
      <c r="E134" s="13" t="s">
        <v>338</v>
      </c>
      <c r="F134" s="11" t="s">
        <v>30</v>
      </c>
      <c r="G134" s="13" t="s">
        <v>343</v>
      </c>
    </row>
    <row r="135" spans="1:7" ht="16" x14ac:dyDescent="0.2">
      <c r="A135" s="11" t="s">
        <v>344</v>
      </c>
      <c r="B135" s="12">
        <v>2</v>
      </c>
      <c r="C135" s="11" t="s">
        <v>337</v>
      </c>
      <c r="D135" s="13" t="s">
        <v>253</v>
      </c>
      <c r="E135" s="13" t="s">
        <v>338</v>
      </c>
      <c r="F135" s="11" t="s">
        <v>33</v>
      </c>
      <c r="G135" s="13" t="s">
        <v>345</v>
      </c>
    </row>
    <row r="136" spans="1:7" ht="16" x14ac:dyDescent="0.2">
      <c r="A136" s="14" t="s">
        <v>346</v>
      </c>
      <c r="B136" s="15">
        <v>7</v>
      </c>
      <c r="C136" s="14" t="s">
        <v>347</v>
      </c>
      <c r="D136" s="16" t="s">
        <v>253</v>
      </c>
      <c r="E136" s="16" t="s">
        <v>348</v>
      </c>
      <c r="F136" s="14" t="s">
        <v>24</v>
      </c>
      <c r="G136" s="16" t="s">
        <v>349</v>
      </c>
    </row>
    <row r="137" spans="1:7" ht="16" x14ac:dyDescent="0.2">
      <c r="A137" s="14" t="s">
        <v>350</v>
      </c>
      <c r="B137" s="15">
        <v>6</v>
      </c>
      <c r="C137" s="14" t="s">
        <v>347</v>
      </c>
      <c r="D137" s="16" t="s">
        <v>253</v>
      </c>
      <c r="E137" s="16" t="s">
        <v>348</v>
      </c>
      <c r="F137" s="14" t="s">
        <v>27</v>
      </c>
      <c r="G137" s="16" t="s">
        <v>351</v>
      </c>
    </row>
    <row r="138" spans="1:7" ht="16" x14ac:dyDescent="0.2">
      <c r="A138" s="14" t="s">
        <v>352</v>
      </c>
      <c r="B138" s="15">
        <v>4</v>
      </c>
      <c r="C138" s="14" t="s">
        <v>347</v>
      </c>
      <c r="D138" s="16" t="s">
        <v>253</v>
      </c>
      <c r="E138" s="16" t="s">
        <v>348</v>
      </c>
      <c r="F138" s="14" t="s">
        <v>30</v>
      </c>
      <c r="G138" s="16" t="s">
        <v>353</v>
      </c>
    </row>
    <row r="139" spans="1:7" ht="16" x14ac:dyDescent="0.2">
      <c r="A139" s="14" t="s">
        <v>354</v>
      </c>
      <c r="B139" s="15">
        <v>3</v>
      </c>
      <c r="C139" s="14" t="s">
        <v>347</v>
      </c>
      <c r="D139" s="16" t="s">
        <v>253</v>
      </c>
      <c r="E139" s="16" t="s">
        <v>348</v>
      </c>
      <c r="F139" s="14" t="s">
        <v>33</v>
      </c>
      <c r="G139" s="16" t="s">
        <v>355</v>
      </c>
    </row>
    <row r="140" spans="1:7" ht="16" x14ac:dyDescent="0.2">
      <c r="A140" s="14" t="s">
        <v>356</v>
      </c>
      <c r="B140" s="15">
        <v>2</v>
      </c>
      <c r="C140" s="14" t="s">
        <v>347</v>
      </c>
      <c r="D140" s="16" t="s">
        <v>253</v>
      </c>
      <c r="E140" s="16" t="s">
        <v>348</v>
      </c>
      <c r="F140" s="14" t="s">
        <v>36</v>
      </c>
      <c r="G140" s="16" t="s">
        <v>357</v>
      </c>
    </row>
    <row r="141" spans="1:7" ht="16" x14ac:dyDescent="0.2">
      <c r="A141" s="11" t="s">
        <v>358</v>
      </c>
      <c r="B141" s="12">
        <v>9</v>
      </c>
      <c r="C141" s="11" t="s">
        <v>359</v>
      </c>
      <c r="D141" s="13" t="s">
        <v>360</v>
      </c>
      <c r="E141" s="13" t="s">
        <v>361</v>
      </c>
      <c r="F141" s="11" t="s">
        <v>24</v>
      </c>
      <c r="G141" s="13" t="s">
        <v>362</v>
      </c>
    </row>
    <row r="142" spans="1:7" ht="16" x14ac:dyDescent="0.2">
      <c r="A142" s="11" t="s">
        <v>363</v>
      </c>
      <c r="B142" s="12">
        <v>6.5</v>
      </c>
      <c r="C142" s="11" t="s">
        <v>359</v>
      </c>
      <c r="D142" s="13" t="s">
        <v>360</v>
      </c>
      <c r="E142" s="13" t="s">
        <v>361</v>
      </c>
      <c r="F142" s="11" t="s">
        <v>27</v>
      </c>
      <c r="G142" s="13" t="s">
        <v>364</v>
      </c>
    </row>
    <row r="143" spans="1:7" ht="16" x14ac:dyDescent="0.2">
      <c r="A143" s="11" t="s">
        <v>365</v>
      </c>
      <c r="B143" s="12">
        <v>4</v>
      </c>
      <c r="C143" s="11" t="s">
        <v>359</v>
      </c>
      <c r="D143" s="13" t="s">
        <v>360</v>
      </c>
      <c r="E143" s="13" t="s">
        <v>361</v>
      </c>
      <c r="F143" s="11" t="s">
        <v>30</v>
      </c>
      <c r="G143" s="13" t="s">
        <v>366</v>
      </c>
    </row>
    <row r="144" spans="1:7" ht="16" x14ac:dyDescent="0.2">
      <c r="A144" s="11" t="s">
        <v>367</v>
      </c>
      <c r="B144" s="12">
        <v>2.5</v>
      </c>
      <c r="C144" s="11" t="s">
        <v>359</v>
      </c>
      <c r="D144" s="13" t="s">
        <v>360</v>
      </c>
      <c r="E144" s="13" t="s">
        <v>361</v>
      </c>
      <c r="F144" s="11" t="s">
        <v>33</v>
      </c>
      <c r="G144" s="13" t="s">
        <v>368</v>
      </c>
    </row>
    <row r="145" spans="1:7" ht="16" x14ac:dyDescent="0.2">
      <c r="A145" s="11" t="s">
        <v>369</v>
      </c>
      <c r="B145" s="12">
        <v>1.5</v>
      </c>
      <c r="C145" s="11" t="s">
        <v>359</v>
      </c>
      <c r="D145" s="13" t="s">
        <v>360</v>
      </c>
      <c r="E145" s="13" t="s">
        <v>361</v>
      </c>
      <c r="F145" s="11" t="s">
        <v>36</v>
      </c>
      <c r="G145" s="13" t="s">
        <v>370</v>
      </c>
    </row>
    <row r="146" spans="1:7" ht="16" x14ac:dyDescent="0.2">
      <c r="A146" s="14" t="s">
        <v>371</v>
      </c>
      <c r="B146" s="15">
        <v>6</v>
      </c>
      <c r="C146" s="14" t="s">
        <v>372</v>
      </c>
      <c r="D146" s="16" t="s">
        <v>360</v>
      </c>
      <c r="E146" s="16" t="s">
        <v>373</v>
      </c>
      <c r="F146" s="14" t="s">
        <v>24</v>
      </c>
      <c r="G146" s="16" t="s">
        <v>374</v>
      </c>
    </row>
    <row r="147" spans="1:7" ht="16" x14ac:dyDescent="0.2">
      <c r="A147" s="14" t="s">
        <v>375</v>
      </c>
      <c r="B147" s="15">
        <v>4</v>
      </c>
      <c r="C147" s="14" t="s">
        <v>372</v>
      </c>
      <c r="D147" s="16" t="s">
        <v>360</v>
      </c>
      <c r="E147" s="16" t="s">
        <v>373</v>
      </c>
      <c r="F147" s="14" t="s">
        <v>27</v>
      </c>
      <c r="G147" s="16" t="s">
        <v>376</v>
      </c>
    </row>
    <row r="148" spans="1:7" ht="16" x14ac:dyDescent="0.2">
      <c r="A148" s="14" t="s">
        <v>377</v>
      </c>
      <c r="B148" s="15">
        <v>2.5</v>
      </c>
      <c r="C148" s="14" t="s">
        <v>372</v>
      </c>
      <c r="D148" s="16" t="s">
        <v>360</v>
      </c>
      <c r="E148" s="16" t="s">
        <v>373</v>
      </c>
      <c r="F148" s="14" t="s">
        <v>30</v>
      </c>
      <c r="G148" s="16" t="s">
        <v>378</v>
      </c>
    </row>
    <row r="149" spans="1:7" ht="16" x14ac:dyDescent="0.2">
      <c r="A149" s="14" t="s">
        <v>379</v>
      </c>
      <c r="B149" s="15">
        <v>1.5</v>
      </c>
      <c r="C149" s="14" t="s">
        <v>372</v>
      </c>
      <c r="D149" s="16" t="s">
        <v>360</v>
      </c>
      <c r="E149" s="16" t="s">
        <v>373</v>
      </c>
      <c r="F149" s="14" t="s">
        <v>33</v>
      </c>
      <c r="G149" s="16" t="s">
        <v>380</v>
      </c>
    </row>
    <row r="150" spans="1:7" ht="16" x14ac:dyDescent="0.2">
      <c r="A150" s="11" t="s">
        <v>381</v>
      </c>
      <c r="B150" s="12">
        <v>8</v>
      </c>
      <c r="C150" s="11" t="s">
        <v>382</v>
      </c>
      <c r="D150" s="13" t="s">
        <v>360</v>
      </c>
      <c r="E150" s="13" t="s">
        <v>383</v>
      </c>
      <c r="F150" s="11" t="s">
        <v>24</v>
      </c>
      <c r="G150" s="13" t="s">
        <v>384</v>
      </c>
    </row>
    <row r="151" spans="1:7" ht="16" x14ac:dyDescent="0.2">
      <c r="A151" s="11" t="s">
        <v>385</v>
      </c>
      <c r="B151" s="12">
        <v>5</v>
      </c>
      <c r="C151" s="11" t="s">
        <v>382</v>
      </c>
      <c r="D151" s="13" t="s">
        <v>360</v>
      </c>
      <c r="E151" s="13" t="s">
        <v>383</v>
      </c>
      <c r="F151" s="11" t="s">
        <v>27</v>
      </c>
      <c r="G151" s="13" t="s">
        <v>386</v>
      </c>
    </row>
    <row r="152" spans="1:7" ht="16" x14ac:dyDescent="0.2">
      <c r="A152" s="11" t="s">
        <v>387</v>
      </c>
      <c r="B152" s="12">
        <v>3</v>
      </c>
      <c r="C152" s="11" t="s">
        <v>382</v>
      </c>
      <c r="D152" s="13" t="s">
        <v>360</v>
      </c>
      <c r="E152" s="13" t="s">
        <v>383</v>
      </c>
      <c r="F152" s="11" t="s">
        <v>30</v>
      </c>
      <c r="G152" s="13" t="s">
        <v>388</v>
      </c>
    </row>
    <row r="153" spans="1:7" ht="16" x14ac:dyDescent="0.2">
      <c r="A153" s="11" t="s">
        <v>389</v>
      </c>
      <c r="B153" s="12">
        <v>1.5</v>
      </c>
      <c r="C153" s="11" t="s">
        <v>382</v>
      </c>
      <c r="D153" s="13" t="s">
        <v>360</v>
      </c>
      <c r="E153" s="13" t="s">
        <v>383</v>
      </c>
      <c r="F153" s="11" t="s">
        <v>33</v>
      </c>
      <c r="G153" s="13" t="s">
        <v>390</v>
      </c>
    </row>
    <row r="154" spans="1:7" ht="32" x14ac:dyDescent="0.2">
      <c r="A154" s="14" t="s">
        <v>391</v>
      </c>
      <c r="B154" s="15">
        <v>7</v>
      </c>
      <c r="C154" s="14" t="s">
        <v>392</v>
      </c>
      <c r="D154" s="16" t="s">
        <v>360</v>
      </c>
      <c r="E154" s="16" t="s">
        <v>393</v>
      </c>
      <c r="F154" s="14" t="s">
        <v>24</v>
      </c>
      <c r="G154" s="16" t="s">
        <v>394</v>
      </c>
    </row>
    <row r="155" spans="1:7" ht="32" x14ac:dyDescent="0.2">
      <c r="A155" s="14" t="s">
        <v>395</v>
      </c>
      <c r="B155" s="15">
        <v>5</v>
      </c>
      <c r="C155" s="14" t="s">
        <v>392</v>
      </c>
      <c r="D155" s="16" t="s">
        <v>360</v>
      </c>
      <c r="E155" s="16" t="s">
        <v>393</v>
      </c>
      <c r="F155" s="14" t="s">
        <v>27</v>
      </c>
      <c r="G155" s="16" t="s">
        <v>396</v>
      </c>
    </row>
    <row r="156" spans="1:7" ht="32" x14ac:dyDescent="0.2">
      <c r="A156" s="14" t="s">
        <v>397</v>
      </c>
      <c r="B156" s="15">
        <v>3</v>
      </c>
      <c r="C156" s="14" t="s">
        <v>392</v>
      </c>
      <c r="D156" s="16" t="s">
        <v>360</v>
      </c>
      <c r="E156" s="16" t="s">
        <v>393</v>
      </c>
      <c r="F156" s="14" t="s">
        <v>30</v>
      </c>
      <c r="G156" s="16" t="s">
        <v>398</v>
      </c>
    </row>
    <row r="157" spans="1:7" ht="32" x14ac:dyDescent="0.2">
      <c r="A157" s="14" t="s">
        <v>399</v>
      </c>
      <c r="B157" s="15">
        <v>2</v>
      </c>
      <c r="C157" s="14" t="s">
        <v>392</v>
      </c>
      <c r="D157" s="16" t="s">
        <v>360</v>
      </c>
      <c r="E157" s="16" t="s">
        <v>393</v>
      </c>
      <c r="F157" s="14" t="s">
        <v>33</v>
      </c>
      <c r="G157" s="16" t="s">
        <v>400</v>
      </c>
    </row>
    <row r="158" spans="1:7" ht="32" x14ac:dyDescent="0.2">
      <c r="A158" s="14" t="s">
        <v>401</v>
      </c>
      <c r="B158" s="15">
        <v>1</v>
      </c>
      <c r="C158" s="14" t="s">
        <v>392</v>
      </c>
      <c r="D158" s="16" t="s">
        <v>360</v>
      </c>
      <c r="E158" s="16" t="s">
        <v>393</v>
      </c>
      <c r="F158" s="14" t="s">
        <v>36</v>
      </c>
      <c r="G158" s="16" t="s">
        <v>402</v>
      </c>
    </row>
    <row r="159" spans="1:7" ht="16" x14ac:dyDescent="0.2">
      <c r="A159" s="11" t="s">
        <v>403</v>
      </c>
      <c r="B159" s="12">
        <v>7</v>
      </c>
      <c r="C159" s="11" t="s">
        <v>404</v>
      </c>
      <c r="D159" s="13" t="s">
        <v>360</v>
      </c>
      <c r="E159" s="13" t="s">
        <v>405</v>
      </c>
      <c r="F159" s="11" t="s">
        <v>24</v>
      </c>
      <c r="G159" s="13" t="s">
        <v>406</v>
      </c>
    </row>
    <row r="160" spans="1:7" ht="16" x14ac:dyDescent="0.2">
      <c r="A160" s="11" t="s">
        <v>407</v>
      </c>
      <c r="B160" s="12">
        <v>4</v>
      </c>
      <c r="C160" s="11" t="s">
        <v>404</v>
      </c>
      <c r="D160" s="13" t="s">
        <v>360</v>
      </c>
      <c r="E160" s="13" t="s">
        <v>405</v>
      </c>
      <c r="F160" s="11" t="s">
        <v>27</v>
      </c>
      <c r="G160" s="13" t="s">
        <v>408</v>
      </c>
    </row>
    <row r="161" spans="1:7" ht="16" x14ac:dyDescent="0.2">
      <c r="A161" s="11" t="s">
        <v>409</v>
      </c>
      <c r="B161" s="12">
        <v>2</v>
      </c>
      <c r="C161" s="11" t="s">
        <v>404</v>
      </c>
      <c r="D161" s="13" t="s">
        <v>360</v>
      </c>
      <c r="E161" s="13" t="s">
        <v>405</v>
      </c>
      <c r="F161" s="11" t="s">
        <v>30</v>
      </c>
      <c r="G161" s="13" t="s">
        <v>410</v>
      </c>
    </row>
    <row r="162" spans="1:7" ht="16" x14ac:dyDescent="0.2">
      <c r="A162" s="11" t="s">
        <v>411</v>
      </c>
      <c r="B162" s="12">
        <v>1</v>
      </c>
      <c r="C162" s="11" t="s">
        <v>404</v>
      </c>
      <c r="D162" s="13" t="s">
        <v>360</v>
      </c>
      <c r="E162" s="13" t="s">
        <v>405</v>
      </c>
      <c r="F162" s="11" t="s">
        <v>33</v>
      </c>
      <c r="G162" s="13" t="s">
        <v>412</v>
      </c>
    </row>
    <row r="163" spans="1:7" ht="16" x14ac:dyDescent="0.2">
      <c r="A163" s="14" t="s">
        <v>413</v>
      </c>
      <c r="B163" s="15">
        <v>7</v>
      </c>
      <c r="C163" s="14" t="s">
        <v>414</v>
      </c>
      <c r="D163" s="16" t="s">
        <v>360</v>
      </c>
      <c r="E163" s="16" t="s">
        <v>415</v>
      </c>
      <c r="F163" s="14" t="s">
        <v>24</v>
      </c>
      <c r="G163" s="16" t="s">
        <v>416</v>
      </c>
    </row>
    <row r="164" spans="1:7" ht="16" x14ac:dyDescent="0.2">
      <c r="A164" s="14" t="s">
        <v>417</v>
      </c>
      <c r="B164" s="15">
        <v>5</v>
      </c>
      <c r="C164" s="14" t="s">
        <v>414</v>
      </c>
      <c r="D164" s="16" t="s">
        <v>360</v>
      </c>
      <c r="E164" s="16" t="s">
        <v>415</v>
      </c>
      <c r="F164" s="14" t="s">
        <v>27</v>
      </c>
      <c r="G164" s="16" t="s">
        <v>418</v>
      </c>
    </row>
    <row r="165" spans="1:7" ht="16" x14ac:dyDescent="0.2">
      <c r="A165" s="14" t="s">
        <v>419</v>
      </c>
      <c r="B165" s="15">
        <v>3</v>
      </c>
      <c r="C165" s="14" t="s">
        <v>414</v>
      </c>
      <c r="D165" s="16" t="s">
        <v>360</v>
      </c>
      <c r="E165" s="16" t="s">
        <v>415</v>
      </c>
      <c r="F165" s="14" t="s">
        <v>30</v>
      </c>
      <c r="G165" s="16" t="s">
        <v>420</v>
      </c>
    </row>
    <row r="166" spans="1:7" ht="16" x14ac:dyDescent="0.2">
      <c r="A166" s="14" t="s">
        <v>421</v>
      </c>
      <c r="B166" s="15">
        <v>1</v>
      </c>
      <c r="C166" s="14" t="s">
        <v>414</v>
      </c>
      <c r="D166" s="16" t="s">
        <v>360</v>
      </c>
      <c r="E166" s="16" t="s">
        <v>415</v>
      </c>
      <c r="F166" s="14" t="s">
        <v>33</v>
      </c>
      <c r="G166" s="16" t="s">
        <v>422</v>
      </c>
    </row>
    <row r="167" spans="1:7" ht="16" x14ac:dyDescent="0.2">
      <c r="A167" s="11" t="s">
        <v>423</v>
      </c>
      <c r="B167" s="12">
        <v>6</v>
      </c>
      <c r="C167" s="11" t="s">
        <v>424</v>
      </c>
      <c r="D167" s="13" t="s">
        <v>360</v>
      </c>
      <c r="E167" s="13" t="s">
        <v>425</v>
      </c>
      <c r="F167" s="11" t="s">
        <v>24</v>
      </c>
      <c r="G167" s="13" t="s">
        <v>426</v>
      </c>
    </row>
    <row r="168" spans="1:7" ht="16" x14ac:dyDescent="0.2">
      <c r="A168" s="11" t="s">
        <v>427</v>
      </c>
      <c r="B168" s="12">
        <v>4</v>
      </c>
      <c r="C168" s="11" t="s">
        <v>424</v>
      </c>
      <c r="D168" s="13" t="s">
        <v>360</v>
      </c>
      <c r="E168" s="13" t="s">
        <v>425</v>
      </c>
      <c r="F168" s="11" t="s">
        <v>27</v>
      </c>
      <c r="G168" s="13" t="s">
        <v>428</v>
      </c>
    </row>
    <row r="169" spans="1:7" ht="16" x14ac:dyDescent="0.2">
      <c r="A169" s="11" t="s">
        <v>429</v>
      </c>
      <c r="B169" s="12">
        <v>3</v>
      </c>
      <c r="C169" s="11" t="s">
        <v>424</v>
      </c>
      <c r="D169" s="13" t="s">
        <v>360</v>
      </c>
      <c r="E169" s="13" t="s">
        <v>425</v>
      </c>
      <c r="F169" s="11" t="s">
        <v>30</v>
      </c>
      <c r="G169" s="13" t="s">
        <v>430</v>
      </c>
    </row>
    <row r="170" spans="1:7" ht="16" x14ac:dyDescent="0.2">
      <c r="A170" s="11" t="s">
        <v>431</v>
      </c>
      <c r="B170" s="12">
        <v>2</v>
      </c>
      <c r="C170" s="11" t="s">
        <v>424</v>
      </c>
      <c r="D170" s="13" t="s">
        <v>360</v>
      </c>
      <c r="E170" s="13" t="s">
        <v>425</v>
      </c>
      <c r="F170" s="11" t="s">
        <v>33</v>
      </c>
      <c r="G170" s="13" t="s">
        <v>432</v>
      </c>
    </row>
    <row r="171" spans="1:7" ht="16" x14ac:dyDescent="0.2">
      <c r="A171" s="14" t="s">
        <v>433</v>
      </c>
      <c r="B171" s="15">
        <v>9</v>
      </c>
      <c r="C171" s="14" t="s">
        <v>434</v>
      </c>
      <c r="D171" s="16" t="s">
        <v>360</v>
      </c>
      <c r="E171" s="16" t="s">
        <v>435</v>
      </c>
      <c r="F171" s="14" t="s">
        <v>24</v>
      </c>
      <c r="G171" s="16" t="s">
        <v>436</v>
      </c>
    </row>
    <row r="172" spans="1:7" ht="16" x14ac:dyDescent="0.2">
      <c r="A172" s="14" t="s">
        <v>437</v>
      </c>
      <c r="B172" s="15">
        <v>4</v>
      </c>
      <c r="C172" s="14" t="s">
        <v>434</v>
      </c>
      <c r="D172" s="16" t="s">
        <v>360</v>
      </c>
      <c r="E172" s="16" t="s">
        <v>435</v>
      </c>
      <c r="F172" s="14" t="s">
        <v>27</v>
      </c>
      <c r="G172" s="16" t="s">
        <v>438</v>
      </c>
    </row>
    <row r="173" spans="1:7" ht="16" x14ac:dyDescent="0.2">
      <c r="A173" s="14" t="s">
        <v>439</v>
      </c>
      <c r="B173" s="15">
        <v>3</v>
      </c>
      <c r="C173" s="14" t="s">
        <v>434</v>
      </c>
      <c r="D173" s="16" t="s">
        <v>360</v>
      </c>
      <c r="E173" s="16" t="s">
        <v>435</v>
      </c>
      <c r="F173" s="14" t="s">
        <v>30</v>
      </c>
      <c r="G173" s="16" t="s">
        <v>440</v>
      </c>
    </row>
    <row r="174" spans="1:7" ht="16" x14ac:dyDescent="0.2">
      <c r="A174" s="14" t="s">
        <v>441</v>
      </c>
      <c r="B174" s="15">
        <v>2</v>
      </c>
      <c r="C174" s="14" t="s">
        <v>434</v>
      </c>
      <c r="D174" s="16" t="s">
        <v>360</v>
      </c>
      <c r="E174" s="16" t="s">
        <v>435</v>
      </c>
      <c r="F174" s="14" t="s">
        <v>33</v>
      </c>
      <c r="G174" s="16" t="s">
        <v>442</v>
      </c>
    </row>
    <row r="175" spans="1:7" ht="16" x14ac:dyDescent="0.2">
      <c r="A175" s="11" t="s">
        <v>443</v>
      </c>
      <c r="B175" s="12">
        <v>9</v>
      </c>
      <c r="C175" s="11" t="s">
        <v>444</v>
      </c>
      <c r="D175" s="13" t="s">
        <v>360</v>
      </c>
      <c r="E175" s="13" t="s">
        <v>445</v>
      </c>
      <c r="F175" s="11" t="s">
        <v>24</v>
      </c>
      <c r="G175" s="13" t="s">
        <v>446</v>
      </c>
    </row>
    <row r="176" spans="1:7" ht="16" x14ac:dyDescent="0.2">
      <c r="A176" s="11" t="s">
        <v>447</v>
      </c>
      <c r="B176" s="12">
        <v>7</v>
      </c>
      <c r="C176" s="11" t="s">
        <v>444</v>
      </c>
      <c r="D176" s="13" t="s">
        <v>360</v>
      </c>
      <c r="E176" s="13" t="s">
        <v>445</v>
      </c>
      <c r="F176" s="11" t="s">
        <v>27</v>
      </c>
      <c r="G176" s="13" t="s">
        <v>178</v>
      </c>
    </row>
    <row r="177" spans="1:7" ht="16" x14ac:dyDescent="0.2">
      <c r="A177" s="11" t="s">
        <v>448</v>
      </c>
      <c r="B177" s="12">
        <v>5</v>
      </c>
      <c r="C177" s="11" t="s">
        <v>444</v>
      </c>
      <c r="D177" s="13" t="s">
        <v>360</v>
      </c>
      <c r="E177" s="13" t="s">
        <v>445</v>
      </c>
      <c r="F177" s="11" t="s">
        <v>30</v>
      </c>
      <c r="G177" s="13" t="s">
        <v>180</v>
      </c>
    </row>
    <row r="178" spans="1:7" ht="16" x14ac:dyDescent="0.2">
      <c r="A178" s="11" t="s">
        <v>449</v>
      </c>
      <c r="B178" s="12">
        <v>3</v>
      </c>
      <c r="C178" s="11" t="s">
        <v>444</v>
      </c>
      <c r="D178" s="13" t="s">
        <v>360</v>
      </c>
      <c r="E178" s="13" t="s">
        <v>445</v>
      </c>
      <c r="F178" s="11" t="s">
        <v>33</v>
      </c>
      <c r="G178" s="13" t="s">
        <v>450</v>
      </c>
    </row>
    <row r="179" spans="1:7" ht="16" x14ac:dyDescent="0.2">
      <c r="A179" s="11" t="s">
        <v>451</v>
      </c>
      <c r="B179" s="12">
        <v>1.5</v>
      </c>
      <c r="C179" s="11" t="s">
        <v>444</v>
      </c>
      <c r="D179" s="13" t="s">
        <v>360</v>
      </c>
      <c r="E179" s="13" t="s">
        <v>445</v>
      </c>
      <c r="F179" s="11" t="s">
        <v>36</v>
      </c>
      <c r="G179" s="13" t="s">
        <v>452</v>
      </c>
    </row>
    <row r="180" spans="1:7" ht="16" x14ac:dyDescent="0.2">
      <c r="A180" s="14" t="s">
        <v>453</v>
      </c>
      <c r="B180" s="15">
        <v>9</v>
      </c>
      <c r="C180" s="14" t="s">
        <v>454</v>
      </c>
      <c r="D180" s="16" t="s">
        <v>360</v>
      </c>
      <c r="E180" s="16" t="s">
        <v>455</v>
      </c>
      <c r="F180" s="14" t="s">
        <v>24</v>
      </c>
      <c r="G180" s="16" t="s">
        <v>456</v>
      </c>
    </row>
    <row r="181" spans="1:7" ht="16" x14ac:dyDescent="0.2">
      <c r="A181" s="14" t="s">
        <v>457</v>
      </c>
      <c r="B181" s="15">
        <v>6</v>
      </c>
      <c r="C181" s="14" t="s">
        <v>454</v>
      </c>
      <c r="D181" s="16" t="s">
        <v>360</v>
      </c>
      <c r="E181" s="16" t="s">
        <v>455</v>
      </c>
      <c r="F181" s="14" t="s">
        <v>27</v>
      </c>
      <c r="G181" s="16" t="s">
        <v>458</v>
      </c>
    </row>
    <row r="182" spans="1:7" ht="16" x14ac:dyDescent="0.2">
      <c r="A182" s="14" t="s">
        <v>459</v>
      </c>
      <c r="B182" s="15">
        <v>4</v>
      </c>
      <c r="C182" s="14" t="s">
        <v>454</v>
      </c>
      <c r="D182" s="16" t="s">
        <v>360</v>
      </c>
      <c r="E182" s="16" t="s">
        <v>455</v>
      </c>
      <c r="F182" s="14" t="s">
        <v>30</v>
      </c>
      <c r="G182" s="16" t="s">
        <v>460</v>
      </c>
    </row>
    <row r="183" spans="1:7" ht="16" x14ac:dyDescent="0.2">
      <c r="A183" s="14" t="s">
        <v>461</v>
      </c>
      <c r="B183" s="15">
        <v>2</v>
      </c>
      <c r="C183" s="14" t="s">
        <v>454</v>
      </c>
      <c r="D183" s="16" t="s">
        <v>360</v>
      </c>
      <c r="E183" s="16" t="s">
        <v>455</v>
      </c>
      <c r="F183" s="14" t="s">
        <v>33</v>
      </c>
      <c r="G183" s="16" t="s">
        <v>462</v>
      </c>
    </row>
    <row r="184" spans="1:7" ht="16" x14ac:dyDescent="0.2">
      <c r="A184" s="14" t="s">
        <v>463</v>
      </c>
      <c r="B184" s="15">
        <v>1</v>
      </c>
      <c r="C184" s="14" t="s">
        <v>454</v>
      </c>
      <c r="D184" s="16" t="s">
        <v>360</v>
      </c>
      <c r="E184" s="16" t="s">
        <v>455</v>
      </c>
      <c r="F184" s="14" t="s">
        <v>36</v>
      </c>
      <c r="G184" s="16" t="s">
        <v>464</v>
      </c>
    </row>
    <row r="185" spans="1:7" ht="32" x14ac:dyDescent="0.2">
      <c r="A185" s="11" t="s">
        <v>465</v>
      </c>
      <c r="B185" s="12">
        <v>8</v>
      </c>
      <c r="C185" s="11" t="s">
        <v>466</v>
      </c>
      <c r="D185" s="13" t="s">
        <v>467</v>
      </c>
      <c r="E185" s="13" t="s">
        <v>468</v>
      </c>
      <c r="F185" s="11" t="s">
        <v>24</v>
      </c>
      <c r="G185" s="13" t="s">
        <v>469</v>
      </c>
    </row>
    <row r="186" spans="1:7" ht="32" x14ac:dyDescent="0.2">
      <c r="A186" s="11" t="s">
        <v>470</v>
      </c>
      <c r="B186" s="12">
        <v>5</v>
      </c>
      <c r="C186" s="11" t="s">
        <v>466</v>
      </c>
      <c r="D186" s="13" t="s">
        <v>467</v>
      </c>
      <c r="E186" s="13" t="s">
        <v>468</v>
      </c>
      <c r="F186" s="11" t="s">
        <v>27</v>
      </c>
      <c r="G186" s="13" t="s">
        <v>471</v>
      </c>
    </row>
    <row r="187" spans="1:7" ht="32" x14ac:dyDescent="0.2">
      <c r="A187" s="11" t="s">
        <v>472</v>
      </c>
      <c r="B187" s="12">
        <v>3</v>
      </c>
      <c r="C187" s="11" t="s">
        <v>466</v>
      </c>
      <c r="D187" s="13" t="s">
        <v>467</v>
      </c>
      <c r="E187" s="13" t="s">
        <v>468</v>
      </c>
      <c r="F187" s="11" t="s">
        <v>30</v>
      </c>
      <c r="G187" s="13" t="s">
        <v>473</v>
      </c>
    </row>
    <row r="188" spans="1:7" ht="32" x14ac:dyDescent="0.2">
      <c r="A188" s="11" t="s">
        <v>474</v>
      </c>
      <c r="B188" s="12">
        <v>1.5</v>
      </c>
      <c r="C188" s="11" t="s">
        <v>466</v>
      </c>
      <c r="D188" s="13" t="s">
        <v>467</v>
      </c>
      <c r="E188" s="13" t="s">
        <v>468</v>
      </c>
      <c r="F188" s="11" t="s">
        <v>33</v>
      </c>
      <c r="G188" s="13" t="s">
        <v>475</v>
      </c>
    </row>
    <row r="189" spans="1:7" ht="16" x14ac:dyDescent="0.2">
      <c r="A189" s="14" t="s">
        <v>476</v>
      </c>
      <c r="B189" s="15">
        <v>8</v>
      </c>
      <c r="C189" s="14" t="s">
        <v>477</v>
      </c>
      <c r="D189" s="16" t="s">
        <v>467</v>
      </c>
      <c r="E189" s="16" t="s">
        <v>478</v>
      </c>
      <c r="F189" s="14" t="s">
        <v>24</v>
      </c>
      <c r="G189" s="16" t="s">
        <v>479</v>
      </c>
    </row>
    <row r="190" spans="1:7" ht="16" x14ac:dyDescent="0.2">
      <c r="A190" s="14" t="s">
        <v>480</v>
      </c>
      <c r="B190" s="15">
        <v>6</v>
      </c>
      <c r="C190" s="14" t="s">
        <v>477</v>
      </c>
      <c r="D190" s="16" t="s">
        <v>467</v>
      </c>
      <c r="E190" s="16" t="s">
        <v>478</v>
      </c>
      <c r="F190" s="14" t="s">
        <v>27</v>
      </c>
      <c r="G190" s="16" t="s">
        <v>481</v>
      </c>
    </row>
    <row r="191" spans="1:7" ht="16" x14ac:dyDescent="0.2">
      <c r="A191" s="14" t="s">
        <v>482</v>
      </c>
      <c r="B191" s="15">
        <v>4</v>
      </c>
      <c r="C191" s="14" t="s">
        <v>477</v>
      </c>
      <c r="D191" s="16" t="s">
        <v>467</v>
      </c>
      <c r="E191" s="16" t="s">
        <v>478</v>
      </c>
      <c r="F191" s="14" t="s">
        <v>30</v>
      </c>
      <c r="G191" s="16" t="s">
        <v>483</v>
      </c>
    </row>
    <row r="192" spans="1:7" ht="16" x14ac:dyDescent="0.2">
      <c r="A192" s="14" t="s">
        <v>484</v>
      </c>
      <c r="B192" s="15">
        <v>2</v>
      </c>
      <c r="C192" s="14" t="s">
        <v>477</v>
      </c>
      <c r="D192" s="16" t="s">
        <v>467</v>
      </c>
      <c r="E192" s="16" t="s">
        <v>478</v>
      </c>
      <c r="F192" s="14" t="s">
        <v>33</v>
      </c>
      <c r="G192" s="16" t="s">
        <v>485</v>
      </c>
    </row>
    <row r="193" spans="1:7" ht="16" x14ac:dyDescent="0.2">
      <c r="A193" s="14" t="s">
        <v>486</v>
      </c>
      <c r="B193" s="15">
        <v>1</v>
      </c>
      <c r="C193" s="14" t="s">
        <v>477</v>
      </c>
      <c r="D193" s="16" t="s">
        <v>467</v>
      </c>
      <c r="E193" s="16" t="s">
        <v>478</v>
      </c>
      <c r="F193" s="14" t="s">
        <v>36</v>
      </c>
      <c r="G193" s="16" t="s">
        <v>487</v>
      </c>
    </row>
    <row r="194" spans="1:7" ht="16" x14ac:dyDescent="0.2">
      <c r="A194" s="11" t="s">
        <v>488</v>
      </c>
      <c r="B194" s="12">
        <v>8</v>
      </c>
      <c r="C194" s="11" t="s">
        <v>489</v>
      </c>
      <c r="D194" s="13" t="s">
        <v>467</v>
      </c>
      <c r="E194" s="13" t="s">
        <v>490</v>
      </c>
      <c r="F194" s="11" t="s">
        <v>24</v>
      </c>
      <c r="G194" s="13" t="s">
        <v>491</v>
      </c>
    </row>
    <row r="195" spans="1:7" ht="16" x14ac:dyDescent="0.2">
      <c r="A195" s="11" t="s">
        <v>492</v>
      </c>
      <c r="B195" s="12">
        <v>5</v>
      </c>
      <c r="C195" s="11" t="s">
        <v>489</v>
      </c>
      <c r="D195" s="13" t="s">
        <v>467</v>
      </c>
      <c r="E195" s="13" t="s">
        <v>490</v>
      </c>
      <c r="F195" s="11" t="s">
        <v>27</v>
      </c>
      <c r="G195" s="13" t="s">
        <v>493</v>
      </c>
    </row>
    <row r="196" spans="1:7" ht="16" x14ac:dyDescent="0.2">
      <c r="A196" s="11" t="s">
        <v>494</v>
      </c>
      <c r="B196" s="12">
        <v>3</v>
      </c>
      <c r="C196" s="11" t="s">
        <v>489</v>
      </c>
      <c r="D196" s="13" t="s">
        <v>467</v>
      </c>
      <c r="E196" s="13" t="s">
        <v>490</v>
      </c>
      <c r="F196" s="11" t="s">
        <v>30</v>
      </c>
      <c r="G196" s="13" t="s">
        <v>495</v>
      </c>
    </row>
    <row r="197" spans="1:7" ht="16" x14ac:dyDescent="0.2">
      <c r="A197" s="11" t="s">
        <v>496</v>
      </c>
      <c r="B197" s="12">
        <v>2</v>
      </c>
      <c r="C197" s="11" t="s">
        <v>489</v>
      </c>
      <c r="D197" s="13" t="s">
        <v>467</v>
      </c>
      <c r="E197" s="13" t="s">
        <v>490</v>
      </c>
      <c r="F197" s="11" t="s">
        <v>33</v>
      </c>
      <c r="G197" s="13" t="s">
        <v>497</v>
      </c>
    </row>
    <row r="198" spans="1:7" ht="16" x14ac:dyDescent="0.2">
      <c r="A198" s="11" t="s">
        <v>498</v>
      </c>
      <c r="B198" s="12">
        <v>1</v>
      </c>
      <c r="C198" s="11" t="s">
        <v>489</v>
      </c>
      <c r="D198" s="13" t="s">
        <v>467</v>
      </c>
      <c r="E198" s="13" t="s">
        <v>490</v>
      </c>
      <c r="F198" s="11" t="s">
        <v>36</v>
      </c>
      <c r="G198" s="13" t="s">
        <v>499</v>
      </c>
    </row>
    <row r="199" spans="1:7" ht="16" x14ac:dyDescent="0.2">
      <c r="A199" s="14" t="s">
        <v>500</v>
      </c>
      <c r="B199" s="15">
        <v>8</v>
      </c>
      <c r="C199" s="14" t="s">
        <v>501</v>
      </c>
      <c r="D199" s="16" t="s">
        <v>467</v>
      </c>
      <c r="E199" s="16" t="s">
        <v>502</v>
      </c>
      <c r="F199" s="14" t="s">
        <v>24</v>
      </c>
      <c r="G199" s="16" t="s">
        <v>503</v>
      </c>
    </row>
    <row r="200" spans="1:7" ht="16" x14ac:dyDescent="0.2">
      <c r="A200" s="14" t="s">
        <v>504</v>
      </c>
      <c r="B200" s="15">
        <v>5</v>
      </c>
      <c r="C200" s="14" t="s">
        <v>501</v>
      </c>
      <c r="D200" s="16" t="s">
        <v>467</v>
      </c>
      <c r="E200" s="16" t="s">
        <v>502</v>
      </c>
      <c r="F200" s="14" t="s">
        <v>27</v>
      </c>
      <c r="G200" s="16" t="s">
        <v>505</v>
      </c>
    </row>
    <row r="201" spans="1:7" ht="16" x14ac:dyDescent="0.2">
      <c r="A201" s="14" t="s">
        <v>506</v>
      </c>
      <c r="B201" s="15">
        <v>3</v>
      </c>
      <c r="C201" s="14" t="s">
        <v>501</v>
      </c>
      <c r="D201" s="16" t="s">
        <v>467</v>
      </c>
      <c r="E201" s="16" t="s">
        <v>502</v>
      </c>
      <c r="F201" s="14" t="s">
        <v>30</v>
      </c>
      <c r="G201" s="16" t="s">
        <v>507</v>
      </c>
    </row>
    <row r="202" spans="1:7" ht="16" x14ac:dyDescent="0.2">
      <c r="A202" s="14" t="s">
        <v>508</v>
      </c>
      <c r="B202" s="15">
        <v>1.5</v>
      </c>
      <c r="C202" s="14" t="s">
        <v>501</v>
      </c>
      <c r="D202" s="16" t="s">
        <v>467</v>
      </c>
      <c r="E202" s="16" t="s">
        <v>502</v>
      </c>
      <c r="F202" s="14" t="s">
        <v>33</v>
      </c>
      <c r="G202" s="16" t="s">
        <v>509</v>
      </c>
    </row>
    <row r="203" spans="1:7" ht="16" x14ac:dyDescent="0.2">
      <c r="A203" s="11" t="s">
        <v>510</v>
      </c>
      <c r="B203" s="12">
        <v>8</v>
      </c>
      <c r="C203" s="11" t="s">
        <v>511</v>
      </c>
      <c r="D203" s="13" t="s">
        <v>467</v>
      </c>
      <c r="E203" s="13" t="s">
        <v>512</v>
      </c>
      <c r="F203" s="11" t="s">
        <v>24</v>
      </c>
      <c r="G203" s="13" t="s">
        <v>513</v>
      </c>
    </row>
    <row r="204" spans="1:7" ht="16" x14ac:dyDescent="0.2">
      <c r="A204" s="11" t="s">
        <v>514</v>
      </c>
      <c r="B204" s="12">
        <v>4</v>
      </c>
      <c r="C204" s="11" t="s">
        <v>511</v>
      </c>
      <c r="D204" s="13" t="s">
        <v>467</v>
      </c>
      <c r="E204" s="13" t="s">
        <v>512</v>
      </c>
      <c r="F204" s="11" t="s">
        <v>27</v>
      </c>
      <c r="G204" s="13" t="s">
        <v>515</v>
      </c>
    </row>
    <row r="205" spans="1:7" ht="16" x14ac:dyDescent="0.2">
      <c r="A205" s="11" t="s">
        <v>516</v>
      </c>
      <c r="B205" s="12">
        <v>2</v>
      </c>
      <c r="C205" s="11" t="s">
        <v>511</v>
      </c>
      <c r="D205" s="13" t="s">
        <v>467</v>
      </c>
      <c r="E205" s="13" t="s">
        <v>512</v>
      </c>
      <c r="F205" s="11" t="s">
        <v>30</v>
      </c>
      <c r="G205" s="13" t="s">
        <v>517</v>
      </c>
    </row>
    <row r="206" spans="1:7" ht="16" x14ac:dyDescent="0.2">
      <c r="A206" s="11" t="s">
        <v>518</v>
      </c>
      <c r="B206" s="12">
        <v>1</v>
      </c>
      <c r="C206" s="11" t="s">
        <v>511</v>
      </c>
      <c r="D206" s="13" t="s">
        <v>467</v>
      </c>
      <c r="E206" s="13" t="s">
        <v>512</v>
      </c>
      <c r="F206" s="11" t="s">
        <v>33</v>
      </c>
      <c r="G206" s="13" t="s">
        <v>519</v>
      </c>
    </row>
    <row r="207" spans="1:7" ht="32" x14ac:dyDescent="0.2">
      <c r="A207" s="14" t="s">
        <v>520</v>
      </c>
      <c r="B207" s="15">
        <v>7</v>
      </c>
      <c r="C207" s="14" t="s">
        <v>521</v>
      </c>
      <c r="D207" s="16" t="s">
        <v>467</v>
      </c>
      <c r="E207" s="16" t="s">
        <v>522</v>
      </c>
      <c r="F207" s="14" t="s">
        <v>24</v>
      </c>
      <c r="G207" s="16" t="s">
        <v>523</v>
      </c>
    </row>
    <row r="208" spans="1:7" ht="32" x14ac:dyDescent="0.2">
      <c r="A208" s="14" t="s">
        <v>524</v>
      </c>
      <c r="B208" s="15">
        <v>5</v>
      </c>
      <c r="C208" s="14" t="s">
        <v>521</v>
      </c>
      <c r="D208" s="16" t="s">
        <v>467</v>
      </c>
      <c r="E208" s="16" t="s">
        <v>522</v>
      </c>
      <c r="F208" s="14" t="s">
        <v>27</v>
      </c>
      <c r="G208" s="16" t="s">
        <v>525</v>
      </c>
    </row>
    <row r="209" spans="1:7" ht="32" x14ac:dyDescent="0.2">
      <c r="A209" s="14" t="s">
        <v>526</v>
      </c>
      <c r="B209" s="15">
        <v>3</v>
      </c>
      <c r="C209" s="14" t="s">
        <v>521</v>
      </c>
      <c r="D209" s="16" t="s">
        <v>467</v>
      </c>
      <c r="E209" s="16" t="s">
        <v>522</v>
      </c>
      <c r="F209" s="14" t="s">
        <v>30</v>
      </c>
      <c r="G209" s="16" t="s">
        <v>527</v>
      </c>
    </row>
    <row r="210" spans="1:7" ht="32" x14ac:dyDescent="0.2">
      <c r="A210" s="14" t="s">
        <v>528</v>
      </c>
      <c r="B210" s="15">
        <v>1</v>
      </c>
      <c r="C210" s="14" t="s">
        <v>521</v>
      </c>
      <c r="D210" s="16" t="s">
        <v>467</v>
      </c>
      <c r="E210" s="16" t="s">
        <v>522</v>
      </c>
      <c r="F210" s="14" t="s">
        <v>33</v>
      </c>
      <c r="G210" s="16" t="s">
        <v>529</v>
      </c>
    </row>
    <row r="211" spans="1:7" ht="16" x14ac:dyDescent="0.2">
      <c r="A211" s="11" t="s">
        <v>530</v>
      </c>
      <c r="B211" s="12">
        <v>8</v>
      </c>
      <c r="C211" s="11" t="s">
        <v>531</v>
      </c>
      <c r="D211" s="13" t="s">
        <v>467</v>
      </c>
      <c r="E211" s="13" t="s">
        <v>532</v>
      </c>
      <c r="F211" s="11" t="s">
        <v>24</v>
      </c>
      <c r="G211" s="13" t="s">
        <v>533</v>
      </c>
    </row>
    <row r="212" spans="1:7" ht="16" x14ac:dyDescent="0.2">
      <c r="A212" s="11" t="s">
        <v>534</v>
      </c>
      <c r="B212" s="12">
        <v>6</v>
      </c>
      <c r="C212" s="11" t="s">
        <v>531</v>
      </c>
      <c r="D212" s="13" t="s">
        <v>467</v>
      </c>
      <c r="E212" s="13" t="s">
        <v>532</v>
      </c>
      <c r="F212" s="11" t="s">
        <v>27</v>
      </c>
      <c r="G212" s="13" t="s">
        <v>535</v>
      </c>
    </row>
    <row r="213" spans="1:7" ht="16" x14ac:dyDescent="0.2">
      <c r="A213" s="11" t="s">
        <v>536</v>
      </c>
      <c r="B213" s="12">
        <v>3</v>
      </c>
      <c r="C213" s="11" t="s">
        <v>531</v>
      </c>
      <c r="D213" s="13" t="s">
        <v>467</v>
      </c>
      <c r="E213" s="13" t="s">
        <v>532</v>
      </c>
      <c r="F213" s="11" t="s">
        <v>30</v>
      </c>
      <c r="G213" s="13" t="s">
        <v>537</v>
      </c>
    </row>
    <row r="214" spans="1:7" ht="16" x14ac:dyDescent="0.2">
      <c r="A214" s="11" t="s">
        <v>538</v>
      </c>
      <c r="B214" s="12">
        <v>1.5</v>
      </c>
      <c r="C214" s="11" t="s">
        <v>531</v>
      </c>
      <c r="D214" s="13" t="s">
        <v>467</v>
      </c>
      <c r="E214" s="13" t="s">
        <v>532</v>
      </c>
      <c r="F214" s="11" t="s">
        <v>33</v>
      </c>
      <c r="G214" s="13" t="s">
        <v>539</v>
      </c>
    </row>
    <row r="215" spans="1:7" ht="16" x14ac:dyDescent="0.2">
      <c r="A215" s="14" t="s">
        <v>540</v>
      </c>
      <c r="B215" s="15">
        <v>7</v>
      </c>
      <c r="C215" s="14" t="s">
        <v>541</v>
      </c>
      <c r="D215" s="16" t="s">
        <v>467</v>
      </c>
      <c r="E215" s="16" t="s">
        <v>542</v>
      </c>
      <c r="F215" s="14" t="s">
        <v>24</v>
      </c>
      <c r="G215" s="16" t="s">
        <v>543</v>
      </c>
    </row>
    <row r="216" spans="1:7" ht="16" x14ac:dyDescent="0.2">
      <c r="A216" s="14" t="s">
        <v>544</v>
      </c>
      <c r="B216" s="15">
        <v>5</v>
      </c>
      <c r="C216" s="14" t="s">
        <v>541</v>
      </c>
      <c r="D216" s="16" t="s">
        <v>467</v>
      </c>
      <c r="E216" s="16" t="s">
        <v>542</v>
      </c>
      <c r="F216" s="14" t="s">
        <v>27</v>
      </c>
      <c r="G216" s="16" t="s">
        <v>545</v>
      </c>
    </row>
    <row r="217" spans="1:7" ht="16" x14ac:dyDescent="0.2">
      <c r="A217" s="14" t="s">
        <v>546</v>
      </c>
      <c r="B217" s="15">
        <v>3</v>
      </c>
      <c r="C217" s="14" t="s">
        <v>541</v>
      </c>
      <c r="D217" s="16" t="s">
        <v>467</v>
      </c>
      <c r="E217" s="16" t="s">
        <v>542</v>
      </c>
      <c r="F217" s="14" t="s">
        <v>30</v>
      </c>
      <c r="G217" s="16" t="s">
        <v>547</v>
      </c>
    </row>
    <row r="218" spans="1:7" ht="16" x14ac:dyDescent="0.2">
      <c r="A218" s="14" t="s">
        <v>548</v>
      </c>
      <c r="B218" s="15">
        <v>1</v>
      </c>
      <c r="C218" s="14" t="s">
        <v>541</v>
      </c>
      <c r="D218" s="16" t="s">
        <v>467</v>
      </c>
      <c r="E218" s="16" t="s">
        <v>542</v>
      </c>
      <c r="F218" s="14" t="s">
        <v>33</v>
      </c>
      <c r="G218" s="16" t="s">
        <v>549</v>
      </c>
    </row>
    <row r="219" spans="1:7" ht="16" x14ac:dyDescent="0.2">
      <c r="A219" s="11" t="s">
        <v>550</v>
      </c>
      <c r="B219" s="12">
        <v>7</v>
      </c>
      <c r="C219" s="11" t="s">
        <v>551</v>
      </c>
      <c r="D219" s="13" t="s">
        <v>467</v>
      </c>
      <c r="E219" s="13" t="s">
        <v>552</v>
      </c>
      <c r="F219" s="11" t="s">
        <v>24</v>
      </c>
      <c r="G219" s="13" t="s">
        <v>553</v>
      </c>
    </row>
    <row r="220" spans="1:7" ht="16" x14ac:dyDescent="0.2">
      <c r="A220" s="11" t="s">
        <v>554</v>
      </c>
      <c r="B220" s="12">
        <v>5</v>
      </c>
      <c r="C220" s="11" t="s">
        <v>551</v>
      </c>
      <c r="D220" s="13" t="s">
        <v>467</v>
      </c>
      <c r="E220" s="13" t="s">
        <v>552</v>
      </c>
      <c r="F220" s="11" t="s">
        <v>27</v>
      </c>
      <c r="G220" s="13" t="s">
        <v>555</v>
      </c>
    </row>
    <row r="221" spans="1:7" ht="16" x14ac:dyDescent="0.2">
      <c r="A221" s="11" t="s">
        <v>556</v>
      </c>
      <c r="B221" s="12">
        <v>2</v>
      </c>
      <c r="C221" s="11" t="s">
        <v>551</v>
      </c>
      <c r="D221" s="13" t="s">
        <v>467</v>
      </c>
      <c r="E221" s="13" t="s">
        <v>552</v>
      </c>
      <c r="F221" s="11" t="s">
        <v>30</v>
      </c>
      <c r="G221" s="13" t="s">
        <v>557</v>
      </c>
    </row>
    <row r="222" spans="1:7" ht="16" x14ac:dyDescent="0.2">
      <c r="A222" s="11" t="s">
        <v>558</v>
      </c>
      <c r="B222" s="12">
        <v>1</v>
      </c>
      <c r="C222" s="11" t="s">
        <v>551</v>
      </c>
      <c r="D222" s="13" t="s">
        <v>467</v>
      </c>
      <c r="E222" s="13" t="s">
        <v>552</v>
      </c>
      <c r="F222" s="11" t="s">
        <v>33</v>
      </c>
      <c r="G222" s="13" t="s">
        <v>559</v>
      </c>
    </row>
    <row r="223" spans="1:7" ht="16" x14ac:dyDescent="0.2">
      <c r="A223" s="14" t="s">
        <v>560</v>
      </c>
      <c r="B223" s="15">
        <v>8</v>
      </c>
      <c r="C223" s="14" t="s">
        <v>561</v>
      </c>
      <c r="D223" s="16" t="s">
        <v>467</v>
      </c>
      <c r="E223" s="16" t="s">
        <v>562</v>
      </c>
      <c r="F223" s="14" t="s">
        <v>24</v>
      </c>
      <c r="G223" s="16" t="s">
        <v>563</v>
      </c>
    </row>
    <row r="224" spans="1:7" ht="16" x14ac:dyDescent="0.2">
      <c r="A224" s="14" t="s">
        <v>564</v>
      </c>
      <c r="B224" s="15">
        <v>6</v>
      </c>
      <c r="C224" s="14" t="s">
        <v>561</v>
      </c>
      <c r="D224" s="16" t="s">
        <v>467</v>
      </c>
      <c r="E224" s="16" t="s">
        <v>562</v>
      </c>
      <c r="F224" s="14" t="s">
        <v>27</v>
      </c>
      <c r="G224" s="16" t="s">
        <v>565</v>
      </c>
    </row>
    <row r="225" spans="1:7" ht="16" x14ac:dyDescent="0.2">
      <c r="A225" s="14" t="s">
        <v>566</v>
      </c>
      <c r="B225" s="15">
        <v>4</v>
      </c>
      <c r="C225" s="14" t="s">
        <v>561</v>
      </c>
      <c r="D225" s="16" t="s">
        <v>467</v>
      </c>
      <c r="E225" s="16" t="s">
        <v>562</v>
      </c>
      <c r="F225" s="14" t="s">
        <v>30</v>
      </c>
      <c r="G225" s="16" t="s">
        <v>567</v>
      </c>
    </row>
    <row r="226" spans="1:7" ht="16" x14ac:dyDescent="0.2">
      <c r="A226" s="14" t="s">
        <v>568</v>
      </c>
      <c r="B226" s="15">
        <v>2</v>
      </c>
      <c r="C226" s="14" t="s">
        <v>561</v>
      </c>
      <c r="D226" s="16" t="s">
        <v>467</v>
      </c>
      <c r="E226" s="16" t="s">
        <v>562</v>
      </c>
      <c r="F226" s="14" t="s">
        <v>33</v>
      </c>
      <c r="G226" s="16" t="s">
        <v>569</v>
      </c>
    </row>
    <row r="227" spans="1:7" ht="16" x14ac:dyDescent="0.2">
      <c r="A227" s="11" t="s">
        <v>570</v>
      </c>
      <c r="B227" s="12">
        <v>8</v>
      </c>
      <c r="C227" s="11" t="s">
        <v>571</v>
      </c>
      <c r="D227" s="13" t="s">
        <v>572</v>
      </c>
      <c r="E227" s="13" t="s">
        <v>573</v>
      </c>
      <c r="F227" s="11" t="s">
        <v>24</v>
      </c>
      <c r="G227" s="13" t="s">
        <v>574</v>
      </c>
    </row>
    <row r="228" spans="1:7" ht="16" x14ac:dyDescent="0.2">
      <c r="A228" s="11" t="s">
        <v>575</v>
      </c>
      <c r="B228" s="12">
        <v>6</v>
      </c>
      <c r="C228" s="11" t="s">
        <v>571</v>
      </c>
      <c r="D228" s="13" t="s">
        <v>572</v>
      </c>
      <c r="E228" s="13" t="s">
        <v>573</v>
      </c>
      <c r="F228" s="11" t="s">
        <v>27</v>
      </c>
      <c r="G228" s="13" t="s">
        <v>576</v>
      </c>
    </row>
    <row r="229" spans="1:7" ht="16" x14ac:dyDescent="0.2">
      <c r="A229" s="11" t="s">
        <v>577</v>
      </c>
      <c r="B229" s="12">
        <v>3</v>
      </c>
      <c r="C229" s="11" t="s">
        <v>571</v>
      </c>
      <c r="D229" s="13" t="s">
        <v>572</v>
      </c>
      <c r="E229" s="13" t="s">
        <v>573</v>
      </c>
      <c r="F229" s="11" t="s">
        <v>30</v>
      </c>
      <c r="G229" s="13" t="s">
        <v>578</v>
      </c>
    </row>
    <row r="230" spans="1:7" ht="16" x14ac:dyDescent="0.2">
      <c r="A230" s="11" t="s">
        <v>579</v>
      </c>
      <c r="B230" s="12">
        <v>1</v>
      </c>
      <c r="C230" s="11" t="s">
        <v>571</v>
      </c>
      <c r="D230" s="13" t="s">
        <v>572</v>
      </c>
      <c r="E230" s="13" t="s">
        <v>573</v>
      </c>
      <c r="F230" s="11" t="s">
        <v>33</v>
      </c>
      <c r="G230" s="13" t="s">
        <v>580</v>
      </c>
    </row>
    <row r="231" spans="1:7" ht="16" x14ac:dyDescent="0.2">
      <c r="A231" s="14" t="s">
        <v>581</v>
      </c>
      <c r="B231" s="15">
        <v>9</v>
      </c>
      <c r="C231" s="14" t="s">
        <v>582</v>
      </c>
      <c r="D231" s="16" t="s">
        <v>572</v>
      </c>
      <c r="E231" s="16" t="s">
        <v>583</v>
      </c>
      <c r="F231" s="14" t="s">
        <v>24</v>
      </c>
      <c r="G231" s="16" t="s">
        <v>584</v>
      </c>
    </row>
    <row r="232" spans="1:7" ht="16" x14ac:dyDescent="0.2">
      <c r="A232" s="14" t="s">
        <v>585</v>
      </c>
      <c r="B232" s="15">
        <v>6</v>
      </c>
      <c r="C232" s="14" t="s">
        <v>582</v>
      </c>
      <c r="D232" s="16" t="s">
        <v>572</v>
      </c>
      <c r="E232" s="16" t="s">
        <v>583</v>
      </c>
      <c r="F232" s="14" t="s">
        <v>27</v>
      </c>
      <c r="G232" s="16" t="s">
        <v>586</v>
      </c>
    </row>
    <row r="233" spans="1:7" ht="16" x14ac:dyDescent="0.2">
      <c r="A233" s="14" t="s">
        <v>587</v>
      </c>
      <c r="B233" s="15">
        <v>3</v>
      </c>
      <c r="C233" s="14" t="s">
        <v>582</v>
      </c>
      <c r="D233" s="16" t="s">
        <v>572</v>
      </c>
      <c r="E233" s="16" t="s">
        <v>583</v>
      </c>
      <c r="F233" s="14" t="s">
        <v>30</v>
      </c>
      <c r="G233" s="16" t="s">
        <v>588</v>
      </c>
    </row>
    <row r="234" spans="1:7" ht="16" x14ac:dyDescent="0.2">
      <c r="A234" s="14" t="s">
        <v>589</v>
      </c>
      <c r="B234" s="15">
        <v>2</v>
      </c>
      <c r="C234" s="14" t="s">
        <v>582</v>
      </c>
      <c r="D234" s="16" t="s">
        <v>572</v>
      </c>
      <c r="E234" s="16" t="s">
        <v>583</v>
      </c>
      <c r="F234" s="14" t="s">
        <v>33</v>
      </c>
      <c r="G234" s="16" t="s">
        <v>590</v>
      </c>
    </row>
    <row r="235" spans="1:7" ht="16" x14ac:dyDescent="0.2">
      <c r="A235" s="11" t="s">
        <v>591</v>
      </c>
      <c r="B235" s="12">
        <v>8</v>
      </c>
      <c r="C235" s="11" t="s">
        <v>592</v>
      </c>
      <c r="D235" s="13" t="s">
        <v>572</v>
      </c>
      <c r="E235" s="13" t="s">
        <v>593</v>
      </c>
      <c r="F235" s="11" t="s">
        <v>24</v>
      </c>
      <c r="G235" s="13" t="s">
        <v>594</v>
      </c>
    </row>
    <row r="236" spans="1:7" ht="16" x14ac:dyDescent="0.2">
      <c r="A236" s="11" t="s">
        <v>595</v>
      </c>
      <c r="B236" s="12">
        <v>6</v>
      </c>
      <c r="C236" s="11" t="s">
        <v>592</v>
      </c>
      <c r="D236" s="13" t="s">
        <v>572</v>
      </c>
      <c r="E236" s="13" t="s">
        <v>593</v>
      </c>
      <c r="F236" s="11" t="s">
        <v>27</v>
      </c>
      <c r="G236" s="13" t="s">
        <v>596</v>
      </c>
    </row>
    <row r="237" spans="1:7" ht="16" x14ac:dyDescent="0.2">
      <c r="A237" s="11" t="s">
        <v>597</v>
      </c>
      <c r="B237" s="12">
        <v>3</v>
      </c>
      <c r="C237" s="11" t="s">
        <v>592</v>
      </c>
      <c r="D237" s="13" t="s">
        <v>572</v>
      </c>
      <c r="E237" s="13" t="s">
        <v>593</v>
      </c>
      <c r="F237" s="11" t="s">
        <v>30</v>
      </c>
      <c r="G237" s="13" t="s">
        <v>598</v>
      </c>
    </row>
    <row r="238" spans="1:7" ht="16" x14ac:dyDescent="0.2">
      <c r="A238" s="11" t="s">
        <v>599</v>
      </c>
      <c r="B238" s="12">
        <v>1</v>
      </c>
      <c r="C238" s="11" t="s">
        <v>592</v>
      </c>
      <c r="D238" s="13" t="s">
        <v>572</v>
      </c>
      <c r="E238" s="13" t="s">
        <v>593</v>
      </c>
      <c r="F238" s="11" t="s">
        <v>33</v>
      </c>
      <c r="G238" s="13" t="s">
        <v>600</v>
      </c>
    </row>
    <row r="239" spans="1:7" ht="16" x14ac:dyDescent="0.2">
      <c r="A239" s="14" t="s">
        <v>601</v>
      </c>
      <c r="B239" s="15">
        <v>8</v>
      </c>
      <c r="C239" s="14" t="s">
        <v>602</v>
      </c>
      <c r="D239" s="16" t="s">
        <v>572</v>
      </c>
      <c r="E239" s="16" t="s">
        <v>603</v>
      </c>
      <c r="F239" s="14" t="s">
        <v>24</v>
      </c>
      <c r="G239" s="16" t="s">
        <v>604</v>
      </c>
    </row>
    <row r="240" spans="1:7" ht="16" x14ac:dyDescent="0.2">
      <c r="A240" s="14" t="s">
        <v>605</v>
      </c>
      <c r="B240" s="15">
        <v>6</v>
      </c>
      <c r="C240" s="14" t="s">
        <v>602</v>
      </c>
      <c r="D240" s="16" t="s">
        <v>572</v>
      </c>
      <c r="E240" s="16" t="s">
        <v>603</v>
      </c>
      <c r="F240" s="14" t="s">
        <v>27</v>
      </c>
      <c r="G240" s="16" t="s">
        <v>606</v>
      </c>
    </row>
    <row r="241" spans="1:7" ht="16" x14ac:dyDescent="0.2">
      <c r="A241" s="14" t="s">
        <v>607</v>
      </c>
      <c r="B241" s="15">
        <v>4</v>
      </c>
      <c r="C241" s="14" t="s">
        <v>602</v>
      </c>
      <c r="D241" s="16" t="s">
        <v>572</v>
      </c>
      <c r="E241" s="16" t="s">
        <v>603</v>
      </c>
      <c r="F241" s="14" t="s">
        <v>30</v>
      </c>
      <c r="G241" s="16" t="s">
        <v>608</v>
      </c>
    </row>
    <row r="242" spans="1:7" ht="16" x14ac:dyDescent="0.2">
      <c r="A242" s="14" t="s">
        <v>609</v>
      </c>
      <c r="B242" s="15">
        <v>2</v>
      </c>
      <c r="C242" s="14" t="s">
        <v>602</v>
      </c>
      <c r="D242" s="16" t="s">
        <v>572</v>
      </c>
      <c r="E242" s="16" t="s">
        <v>603</v>
      </c>
      <c r="F242" s="14" t="s">
        <v>33</v>
      </c>
      <c r="G242" s="16" t="s">
        <v>610</v>
      </c>
    </row>
    <row r="243" spans="1:7" ht="16" x14ac:dyDescent="0.2">
      <c r="A243" s="14" t="s">
        <v>611</v>
      </c>
      <c r="B243" s="15">
        <v>1</v>
      </c>
      <c r="C243" s="14" t="s">
        <v>602</v>
      </c>
      <c r="D243" s="16" t="s">
        <v>572</v>
      </c>
      <c r="E243" s="16" t="s">
        <v>603</v>
      </c>
      <c r="F243" s="14" t="s">
        <v>36</v>
      </c>
      <c r="G243" s="16" t="s">
        <v>612</v>
      </c>
    </row>
    <row r="244" spans="1:7" ht="16" x14ac:dyDescent="0.2">
      <c r="A244" s="11" t="s">
        <v>613</v>
      </c>
      <c r="B244" s="12">
        <v>8</v>
      </c>
      <c r="C244" s="11" t="s">
        <v>614</v>
      </c>
      <c r="D244" s="13" t="s">
        <v>572</v>
      </c>
      <c r="E244" s="13" t="s">
        <v>615</v>
      </c>
      <c r="F244" s="11" t="s">
        <v>24</v>
      </c>
      <c r="G244" s="13" t="s">
        <v>616</v>
      </c>
    </row>
    <row r="245" spans="1:7" ht="16" x14ac:dyDescent="0.2">
      <c r="A245" s="11" t="s">
        <v>617</v>
      </c>
      <c r="B245" s="12">
        <v>5</v>
      </c>
      <c r="C245" s="11" t="s">
        <v>614</v>
      </c>
      <c r="D245" s="13" t="s">
        <v>572</v>
      </c>
      <c r="E245" s="13" t="s">
        <v>615</v>
      </c>
      <c r="F245" s="11" t="s">
        <v>27</v>
      </c>
      <c r="G245" s="13" t="s">
        <v>618</v>
      </c>
    </row>
    <row r="246" spans="1:7" ht="16" x14ac:dyDescent="0.2">
      <c r="A246" s="11" t="s">
        <v>619</v>
      </c>
      <c r="B246" s="12">
        <v>3</v>
      </c>
      <c r="C246" s="11" t="s">
        <v>614</v>
      </c>
      <c r="D246" s="13" t="s">
        <v>572</v>
      </c>
      <c r="E246" s="13" t="s">
        <v>615</v>
      </c>
      <c r="F246" s="11" t="s">
        <v>30</v>
      </c>
      <c r="G246" s="13" t="s">
        <v>620</v>
      </c>
    </row>
    <row r="247" spans="1:7" ht="16" x14ac:dyDescent="0.2">
      <c r="A247" s="11" t="s">
        <v>621</v>
      </c>
      <c r="B247" s="12">
        <v>1</v>
      </c>
      <c r="C247" s="11" t="s">
        <v>614</v>
      </c>
      <c r="D247" s="13" t="s">
        <v>572</v>
      </c>
      <c r="E247" s="13" t="s">
        <v>615</v>
      </c>
      <c r="F247" s="11" t="s">
        <v>33</v>
      </c>
      <c r="G247" s="13" t="s">
        <v>622</v>
      </c>
    </row>
    <row r="248" spans="1:7" ht="16" x14ac:dyDescent="0.2">
      <c r="A248" s="14" t="s">
        <v>623</v>
      </c>
      <c r="B248" s="15">
        <v>8</v>
      </c>
      <c r="C248" s="14" t="s">
        <v>624</v>
      </c>
      <c r="D248" s="16" t="s">
        <v>572</v>
      </c>
      <c r="E248" s="16" t="s">
        <v>625</v>
      </c>
      <c r="F248" s="14" t="s">
        <v>24</v>
      </c>
      <c r="G248" s="16" t="s">
        <v>626</v>
      </c>
    </row>
    <row r="249" spans="1:7" ht="16" x14ac:dyDescent="0.2">
      <c r="A249" s="14" t="s">
        <v>627</v>
      </c>
      <c r="B249" s="15">
        <v>6</v>
      </c>
      <c r="C249" s="14" t="s">
        <v>624</v>
      </c>
      <c r="D249" s="16" t="s">
        <v>572</v>
      </c>
      <c r="E249" s="16" t="s">
        <v>625</v>
      </c>
      <c r="F249" s="14" t="s">
        <v>27</v>
      </c>
      <c r="G249" s="16" t="s">
        <v>628</v>
      </c>
    </row>
    <row r="250" spans="1:7" ht="16" x14ac:dyDescent="0.2">
      <c r="A250" s="14" t="s">
        <v>629</v>
      </c>
      <c r="B250" s="15">
        <v>3</v>
      </c>
      <c r="C250" s="14" t="s">
        <v>624</v>
      </c>
      <c r="D250" s="16" t="s">
        <v>572</v>
      </c>
      <c r="E250" s="16" t="s">
        <v>625</v>
      </c>
      <c r="F250" s="14" t="s">
        <v>30</v>
      </c>
      <c r="G250" s="16" t="s">
        <v>630</v>
      </c>
    </row>
    <row r="251" spans="1:7" ht="16" x14ac:dyDescent="0.2">
      <c r="A251" s="14" t="s">
        <v>631</v>
      </c>
      <c r="B251" s="15">
        <v>1.5</v>
      </c>
      <c r="C251" s="14" t="s">
        <v>624</v>
      </c>
      <c r="D251" s="16" t="s">
        <v>572</v>
      </c>
      <c r="E251" s="16" t="s">
        <v>625</v>
      </c>
      <c r="F251" s="14" t="s">
        <v>33</v>
      </c>
      <c r="G251" s="16" t="s">
        <v>632</v>
      </c>
    </row>
    <row r="252" spans="1:7" ht="16" x14ac:dyDescent="0.2">
      <c r="A252" s="11" t="s">
        <v>633</v>
      </c>
      <c r="B252" s="12">
        <v>6</v>
      </c>
      <c r="C252" s="11" t="s">
        <v>634</v>
      </c>
      <c r="D252" s="13" t="s">
        <v>572</v>
      </c>
      <c r="E252" s="13" t="s">
        <v>635</v>
      </c>
      <c r="F252" s="11" t="s">
        <v>24</v>
      </c>
      <c r="G252" s="13" t="s">
        <v>636</v>
      </c>
    </row>
    <row r="253" spans="1:7" ht="16" x14ac:dyDescent="0.2">
      <c r="A253" s="11" t="s">
        <v>637</v>
      </c>
      <c r="B253" s="12">
        <v>4</v>
      </c>
      <c r="C253" s="11" t="s">
        <v>634</v>
      </c>
      <c r="D253" s="13" t="s">
        <v>572</v>
      </c>
      <c r="E253" s="13" t="s">
        <v>635</v>
      </c>
      <c r="F253" s="11" t="s">
        <v>27</v>
      </c>
      <c r="G253" s="13" t="s">
        <v>638</v>
      </c>
    </row>
    <row r="254" spans="1:7" ht="16" x14ac:dyDescent="0.2">
      <c r="A254" s="11" t="s">
        <v>639</v>
      </c>
      <c r="B254" s="12">
        <v>3</v>
      </c>
      <c r="C254" s="11" t="s">
        <v>634</v>
      </c>
      <c r="D254" s="13" t="s">
        <v>572</v>
      </c>
      <c r="E254" s="13" t="s">
        <v>635</v>
      </c>
      <c r="F254" s="11" t="s">
        <v>30</v>
      </c>
      <c r="G254" s="13" t="s">
        <v>640</v>
      </c>
    </row>
    <row r="255" spans="1:7" ht="16" x14ac:dyDescent="0.2">
      <c r="A255" s="11" t="s">
        <v>641</v>
      </c>
      <c r="B255" s="12">
        <v>1</v>
      </c>
      <c r="C255" s="11" t="s">
        <v>634</v>
      </c>
      <c r="D255" s="13" t="s">
        <v>572</v>
      </c>
      <c r="E255" s="13" t="s">
        <v>635</v>
      </c>
      <c r="F255" s="11" t="s">
        <v>33</v>
      </c>
      <c r="G255" s="13" t="s">
        <v>642</v>
      </c>
    </row>
    <row r="256" spans="1:7" ht="16" x14ac:dyDescent="0.2">
      <c r="A256" s="14" t="s">
        <v>643</v>
      </c>
      <c r="B256" s="15">
        <v>8</v>
      </c>
      <c r="C256" s="14" t="s">
        <v>644</v>
      </c>
      <c r="D256" s="16" t="s">
        <v>572</v>
      </c>
      <c r="E256" s="16" t="s">
        <v>645</v>
      </c>
      <c r="F256" s="14" t="s">
        <v>24</v>
      </c>
      <c r="G256" s="16" t="s">
        <v>646</v>
      </c>
    </row>
    <row r="257" spans="1:7" ht="16" x14ac:dyDescent="0.2">
      <c r="A257" s="14" t="s">
        <v>647</v>
      </c>
      <c r="B257" s="15">
        <v>4</v>
      </c>
      <c r="C257" s="14" t="s">
        <v>644</v>
      </c>
      <c r="D257" s="16" t="s">
        <v>572</v>
      </c>
      <c r="E257" s="16" t="s">
        <v>645</v>
      </c>
      <c r="F257" s="14" t="s">
        <v>27</v>
      </c>
      <c r="G257" s="16" t="s">
        <v>648</v>
      </c>
    </row>
    <row r="258" spans="1:7" ht="16" x14ac:dyDescent="0.2">
      <c r="A258" s="14" t="s">
        <v>649</v>
      </c>
      <c r="B258" s="15">
        <v>3</v>
      </c>
      <c r="C258" s="14" t="s">
        <v>644</v>
      </c>
      <c r="D258" s="16" t="s">
        <v>572</v>
      </c>
      <c r="E258" s="16" t="s">
        <v>645</v>
      </c>
      <c r="F258" s="14" t="s">
        <v>30</v>
      </c>
      <c r="G258" s="16" t="s">
        <v>650</v>
      </c>
    </row>
    <row r="259" spans="1:7" ht="16" x14ac:dyDescent="0.2">
      <c r="A259" s="14" t="s">
        <v>651</v>
      </c>
      <c r="B259" s="15">
        <v>2</v>
      </c>
      <c r="C259" s="14" t="s">
        <v>644</v>
      </c>
      <c r="D259" s="16" t="s">
        <v>572</v>
      </c>
      <c r="E259" s="16" t="s">
        <v>645</v>
      </c>
      <c r="F259" s="14" t="s">
        <v>33</v>
      </c>
      <c r="G259" s="16" t="s">
        <v>652</v>
      </c>
    </row>
    <row r="260" spans="1:7" ht="16" x14ac:dyDescent="0.2">
      <c r="A260" s="11" t="s">
        <v>653</v>
      </c>
      <c r="B260" s="12">
        <v>7</v>
      </c>
      <c r="C260" s="11" t="s">
        <v>654</v>
      </c>
      <c r="D260" s="13" t="s">
        <v>572</v>
      </c>
      <c r="E260" s="13" t="s">
        <v>655</v>
      </c>
      <c r="F260" s="11" t="s">
        <v>24</v>
      </c>
      <c r="G260" s="13" t="s">
        <v>656</v>
      </c>
    </row>
    <row r="261" spans="1:7" ht="16" x14ac:dyDescent="0.2">
      <c r="A261" s="11" t="s">
        <v>657</v>
      </c>
      <c r="B261" s="12">
        <v>4</v>
      </c>
      <c r="C261" s="11" t="s">
        <v>654</v>
      </c>
      <c r="D261" s="13" t="s">
        <v>572</v>
      </c>
      <c r="E261" s="13" t="s">
        <v>655</v>
      </c>
      <c r="F261" s="11" t="s">
        <v>27</v>
      </c>
      <c r="G261" s="13" t="s">
        <v>658</v>
      </c>
    </row>
    <row r="262" spans="1:7" ht="16" x14ac:dyDescent="0.2">
      <c r="A262" s="11" t="s">
        <v>659</v>
      </c>
      <c r="B262" s="12">
        <v>3</v>
      </c>
      <c r="C262" s="11" t="s">
        <v>654</v>
      </c>
      <c r="D262" s="13" t="s">
        <v>572</v>
      </c>
      <c r="E262" s="13" t="s">
        <v>655</v>
      </c>
      <c r="F262" s="11" t="s">
        <v>30</v>
      </c>
      <c r="G262" s="13" t="s">
        <v>660</v>
      </c>
    </row>
    <row r="263" spans="1:7" ht="16" x14ac:dyDescent="0.2">
      <c r="A263" s="11" t="s">
        <v>661</v>
      </c>
      <c r="B263" s="12">
        <v>1</v>
      </c>
      <c r="C263" s="11" t="s">
        <v>654</v>
      </c>
      <c r="D263" s="13" t="s">
        <v>572</v>
      </c>
      <c r="E263" s="13" t="s">
        <v>655</v>
      </c>
      <c r="F263" s="11" t="s">
        <v>33</v>
      </c>
      <c r="G263" s="13" t="s">
        <v>662</v>
      </c>
    </row>
    <row r="264" spans="1:7" ht="16" x14ac:dyDescent="0.2">
      <c r="A264" s="14" t="s">
        <v>663</v>
      </c>
      <c r="B264" s="15">
        <v>7</v>
      </c>
      <c r="C264" s="14" t="s">
        <v>664</v>
      </c>
      <c r="D264" s="16" t="s">
        <v>572</v>
      </c>
      <c r="E264" s="16" t="s">
        <v>665</v>
      </c>
      <c r="F264" s="14" t="s">
        <v>24</v>
      </c>
      <c r="G264" s="16" t="s">
        <v>666</v>
      </c>
    </row>
    <row r="265" spans="1:7" ht="16" x14ac:dyDescent="0.2">
      <c r="A265" s="14" t="s">
        <v>667</v>
      </c>
      <c r="B265" s="15">
        <v>5</v>
      </c>
      <c r="C265" s="14" t="s">
        <v>664</v>
      </c>
      <c r="D265" s="16" t="s">
        <v>572</v>
      </c>
      <c r="E265" s="16" t="s">
        <v>665</v>
      </c>
      <c r="F265" s="14" t="s">
        <v>27</v>
      </c>
      <c r="G265" s="16" t="s">
        <v>668</v>
      </c>
    </row>
    <row r="266" spans="1:7" ht="16" x14ac:dyDescent="0.2">
      <c r="A266" s="14" t="s">
        <v>669</v>
      </c>
      <c r="B266" s="15">
        <v>3</v>
      </c>
      <c r="C266" s="14" t="s">
        <v>664</v>
      </c>
      <c r="D266" s="16" t="s">
        <v>572</v>
      </c>
      <c r="E266" s="16" t="s">
        <v>665</v>
      </c>
      <c r="F266" s="14" t="s">
        <v>30</v>
      </c>
      <c r="G266" s="16" t="s">
        <v>670</v>
      </c>
    </row>
    <row r="267" spans="1:7" ht="16" x14ac:dyDescent="0.2">
      <c r="A267" s="14" t="s">
        <v>671</v>
      </c>
      <c r="B267" s="15">
        <v>1</v>
      </c>
      <c r="C267" s="14" t="s">
        <v>664</v>
      </c>
      <c r="D267" s="16" t="s">
        <v>572</v>
      </c>
      <c r="E267" s="16" t="s">
        <v>665</v>
      </c>
      <c r="F267" s="14" t="s">
        <v>33</v>
      </c>
      <c r="G267" s="16" t="s">
        <v>672</v>
      </c>
    </row>
    <row r="268" spans="1:7" ht="16" x14ac:dyDescent="0.2">
      <c r="A268" s="11" t="s">
        <v>673</v>
      </c>
      <c r="B268" s="12">
        <v>8</v>
      </c>
      <c r="C268" s="11" t="s">
        <v>674</v>
      </c>
      <c r="D268" s="13" t="s">
        <v>675</v>
      </c>
      <c r="E268" s="13" t="s">
        <v>676</v>
      </c>
      <c r="F268" s="11" t="s">
        <v>24</v>
      </c>
      <c r="G268" s="13" t="s">
        <v>677</v>
      </c>
    </row>
    <row r="269" spans="1:7" ht="16" x14ac:dyDescent="0.2">
      <c r="A269" s="11" t="s">
        <v>678</v>
      </c>
      <c r="B269" s="12">
        <v>5</v>
      </c>
      <c r="C269" s="11" t="s">
        <v>674</v>
      </c>
      <c r="D269" s="13" t="s">
        <v>675</v>
      </c>
      <c r="E269" s="13" t="s">
        <v>676</v>
      </c>
      <c r="F269" s="11" t="s">
        <v>27</v>
      </c>
      <c r="G269" s="13" t="s">
        <v>679</v>
      </c>
    </row>
    <row r="270" spans="1:7" ht="16" x14ac:dyDescent="0.2">
      <c r="A270" s="11" t="s">
        <v>680</v>
      </c>
      <c r="B270" s="12">
        <v>2.5</v>
      </c>
      <c r="C270" s="11" t="s">
        <v>674</v>
      </c>
      <c r="D270" s="13" t="s">
        <v>675</v>
      </c>
      <c r="E270" s="13" t="s">
        <v>676</v>
      </c>
      <c r="F270" s="11" t="s">
        <v>30</v>
      </c>
      <c r="G270" s="13" t="s">
        <v>681</v>
      </c>
    </row>
    <row r="271" spans="1:7" ht="16" x14ac:dyDescent="0.2">
      <c r="A271" s="14" t="s">
        <v>682</v>
      </c>
      <c r="B271" s="15">
        <v>8</v>
      </c>
      <c r="C271" s="14" t="s">
        <v>683</v>
      </c>
      <c r="D271" s="16" t="s">
        <v>675</v>
      </c>
      <c r="E271" s="16" t="s">
        <v>684</v>
      </c>
      <c r="F271" s="14" t="s">
        <v>24</v>
      </c>
      <c r="G271" s="16" t="s">
        <v>406</v>
      </c>
    </row>
    <row r="272" spans="1:7" ht="16" x14ac:dyDescent="0.2">
      <c r="A272" s="14" t="s">
        <v>685</v>
      </c>
      <c r="B272" s="15">
        <v>6</v>
      </c>
      <c r="C272" s="14" t="s">
        <v>683</v>
      </c>
      <c r="D272" s="16" t="s">
        <v>675</v>
      </c>
      <c r="E272" s="16" t="s">
        <v>684</v>
      </c>
      <c r="F272" s="14" t="s">
        <v>27</v>
      </c>
      <c r="G272" s="16" t="s">
        <v>686</v>
      </c>
    </row>
    <row r="273" spans="1:7" ht="16" x14ac:dyDescent="0.2">
      <c r="A273" s="14" t="s">
        <v>687</v>
      </c>
      <c r="B273" s="15">
        <v>4</v>
      </c>
      <c r="C273" s="14" t="s">
        <v>683</v>
      </c>
      <c r="D273" s="16" t="s">
        <v>675</v>
      </c>
      <c r="E273" s="16" t="s">
        <v>684</v>
      </c>
      <c r="F273" s="14" t="s">
        <v>30</v>
      </c>
      <c r="G273" s="16" t="s">
        <v>688</v>
      </c>
    </row>
    <row r="274" spans="1:7" ht="16" x14ac:dyDescent="0.2">
      <c r="A274" s="14" t="s">
        <v>689</v>
      </c>
      <c r="B274" s="15">
        <v>3</v>
      </c>
      <c r="C274" s="14" t="s">
        <v>683</v>
      </c>
      <c r="D274" s="16" t="s">
        <v>675</v>
      </c>
      <c r="E274" s="16" t="s">
        <v>684</v>
      </c>
      <c r="F274" s="14" t="s">
        <v>33</v>
      </c>
      <c r="G274" s="16" t="s">
        <v>690</v>
      </c>
    </row>
    <row r="275" spans="1:7" ht="16" x14ac:dyDescent="0.2">
      <c r="A275" s="14" t="s">
        <v>691</v>
      </c>
      <c r="B275" s="15">
        <v>2</v>
      </c>
      <c r="C275" s="14" t="s">
        <v>683</v>
      </c>
      <c r="D275" s="16" t="s">
        <v>675</v>
      </c>
      <c r="E275" s="16" t="s">
        <v>684</v>
      </c>
      <c r="F275" s="14" t="s">
        <v>36</v>
      </c>
      <c r="G275" s="16" t="s">
        <v>692</v>
      </c>
    </row>
    <row r="276" spans="1:7" ht="16" x14ac:dyDescent="0.2">
      <c r="A276" s="11" t="s">
        <v>693</v>
      </c>
      <c r="B276" s="12">
        <v>7</v>
      </c>
      <c r="C276" s="11" t="s">
        <v>694</v>
      </c>
      <c r="D276" s="13" t="s">
        <v>675</v>
      </c>
      <c r="E276" s="13" t="s">
        <v>695</v>
      </c>
      <c r="F276" s="11" t="s">
        <v>24</v>
      </c>
      <c r="G276" s="13" t="s">
        <v>696</v>
      </c>
    </row>
    <row r="277" spans="1:7" ht="16" x14ac:dyDescent="0.2">
      <c r="A277" s="11" t="s">
        <v>697</v>
      </c>
      <c r="B277" s="12">
        <v>5</v>
      </c>
      <c r="C277" s="11" t="s">
        <v>694</v>
      </c>
      <c r="D277" s="13" t="s">
        <v>675</v>
      </c>
      <c r="E277" s="13" t="s">
        <v>695</v>
      </c>
      <c r="F277" s="11" t="s">
        <v>27</v>
      </c>
      <c r="G277" s="13" t="s">
        <v>698</v>
      </c>
    </row>
    <row r="278" spans="1:7" ht="16" x14ac:dyDescent="0.2">
      <c r="A278" s="11" t="s">
        <v>699</v>
      </c>
      <c r="B278" s="12">
        <v>3</v>
      </c>
      <c r="C278" s="11" t="s">
        <v>694</v>
      </c>
      <c r="D278" s="13" t="s">
        <v>675</v>
      </c>
      <c r="E278" s="13" t="s">
        <v>695</v>
      </c>
      <c r="F278" s="11" t="s">
        <v>30</v>
      </c>
      <c r="G278" s="13" t="s">
        <v>700</v>
      </c>
    </row>
    <row r="279" spans="1:7" ht="16" x14ac:dyDescent="0.2">
      <c r="A279" s="11" t="s">
        <v>701</v>
      </c>
      <c r="B279" s="12">
        <v>2</v>
      </c>
      <c r="C279" s="11" t="s">
        <v>694</v>
      </c>
      <c r="D279" s="13" t="s">
        <v>675</v>
      </c>
      <c r="E279" s="13" t="s">
        <v>695</v>
      </c>
      <c r="F279" s="11" t="s">
        <v>33</v>
      </c>
      <c r="G279" s="13" t="s">
        <v>702</v>
      </c>
    </row>
    <row r="280" spans="1:7" ht="16" x14ac:dyDescent="0.2">
      <c r="A280" s="14" t="s">
        <v>703</v>
      </c>
      <c r="B280" s="15">
        <v>8</v>
      </c>
      <c r="C280" s="14" t="s">
        <v>704</v>
      </c>
      <c r="D280" s="16" t="s">
        <v>675</v>
      </c>
      <c r="E280" s="16" t="s">
        <v>705</v>
      </c>
      <c r="F280" s="14" t="s">
        <v>24</v>
      </c>
      <c r="G280" s="16" t="s">
        <v>706</v>
      </c>
    </row>
    <row r="281" spans="1:7" ht="16" x14ac:dyDescent="0.2">
      <c r="A281" s="14" t="s">
        <v>707</v>
      </c>
      <c r="B281" s="15">
        <v>6</v>
      </c>
      <c r="C281" s="14" t="s">
        <v>704</v>
      </c>
      <c r="D281" s="16" t="s">
        <v>675</v>
      </c>
      <c r="E281" s="16" t="s">
        <v>705</v>
      </c>
      <c r="F281" s="14" t="s">
        <v>27</v>
      </c>
      <c r="G281" s="16" t="s">
        <v>708</v>
      </c>
    </row>
    <row r="282" spans="1:7" ht="16" x14ac:dyDescent="0.2">
      <c r="A282" s="14" t="s">
        <v>709</v>
      </c>
      <c r="B282" s="15">
        <v>4</v>
      </c>
      <c r="C282" s="14" t="s">
        <v>704</v>
      </c>
      <c r="D282" s="16" t="s">
        <v>675</v>
      </c>
      <c r="E282" s="16" t="s">
        <v>705</v>
      </c>
      <c r="F282" s="14" t="s">
        <v>30</v>
      </c>
      <c r="G282" s="16" t="s">
        <v>710</v>
      </c>
    </row>
    <row r="283" spans="1:7" ht="16" x14ac:dyDescent="0.2">
      <c r="A283" s="14" t="s">
        <v>711</v>
      </c>
      <c r="B283" s="15">
        <v>2</v>
      </c>
      <c r="C283" s="14" t="s">
        <v>704</v>
      </c>
      <c r="D283" s="16" t="s">
        <v>675</v>
      </c>
      <c r="E283" s="16" t="s">
        <v>705</v>
      </c>
      <c r="F283" s="14" t="s">
        <v>33</v>
      </c>
      <c r="G283" s="16" t="s">
        <v>712</v>
      </c>
    </row>
    <row r="284" spans="1:7" ht="16" x14ac:dyDescent="0.2">
      <c r="A284" s="14" t="s">
        <v>713</v>
      </c>
      <c r="B284" s="15">
        <v>1</v>
      </c>
      <c r="C284" s="14" t="s">
        <v>704</v>
      </c>
      <c r="D284" s="16" t="s">
        <v>675</v>
      </c>
      <c r="E284" s="16" t="s">
        <v>705</v>
      </c>
      <c r="F284" s="14" t="s">
        <v>36</v>
      </c>
      <c r="G284" s="16" t="s">
        <v>714</v>
      </c>
    </row>
    <row r="285" spans="1:7" ht="16" x14ac:dyDescent="0.2">
      <c r="A285" s="11" t="s">
        <v>715</v>
      </c>
      <c r="B285" s="12">
        <v>7</v>
      </c>
      <c r="C285" s="11" t="s">
        <v>716</v>
      </c>
      <c r="D285" s="13" t="s">
        <v>675</v>
      </c>
      <c r="E285" s="13" t="s">
        <v>717</v>
      </c>
      <c r="F285" s="11" t="s">
        <v>24</v>
      </c>
      <c r="G285" s="13" t="s">
        <v>718</v>
      </c>
    </row>
    <row r="286" spans="1:7" ht="16" x14ac:dyDescent="0.2">
      <c r="A286" s="11" t="s">
        <v>719</v>
      </c>
      <c r="B286" s="12">
        <v>5</v>
      </c>
      <c r="C286" s="11" t="s">
        <v>716</v>
      </c>
      <c r="D286" s="13" t="s">
        <v>675</v>
      </c>
      <c r="E286" s="13" t="s">
        <v>717</v>
      </c>
      <c r="F286" s="11" t="s">
        <v>27</v>
      </c>
      <c r="G286" s="13" t="s">
        <v>720</v>
      </c>
    </row>
    <row r="287" spans="1:7" ht="16" x14ac:dyDescent="0.2">
      <c r="A287" s="11" t="s">
        <v>721</v>
      </c>
      <c r="B287" s="12">
        <v>4</v>
      </c>
      <c r="C287" s="11" t="s">
        <v>716</v>
      </c>
      <c r="D287" s="13" t="s">
        <v>675</v>
      </c>
      <c r="E287" s="13" t="s">
        <v>717</v>
      </c>
      <c r="F287" s="11" t="s">
        <v>30</v>
      </c>
      <c r="G287" s="13" t="s">
        <v>722</v>
      </c>
    </row>
    <row r="288" spans="1:7" ht="16" x14ac:dyDescent="0.2">
      <c r="A288" s="11" t="s">
        <v>723</v>
      </c>
      <c r="B288" s="12">
        <v>3</v>
      </c>
      <c r="C288" s="11" t="s">
        <v>716</v>
      </c>
      <c r="D288" s="13" t="s">
        <v>675</v>
      </c>
      <c r="E288" s="13" t="s">
        <v>717</v>
      </c>
      <c r="F288" s="11" t="s">
        <v>33</v>
      </c>
      <c r="G288" s="13" t="s">
        <v>724</v>
      </c>
    </row>
    <row r="289" spans="1:7" ht="16" x14ac:dyDescent="0.2">
      <c r="A289" s="11" t="s">
        <v>725</v>
      </c>
      <c r="B289" s="12">
        <v>2</v>
      </c>
      <c r="C289" s="11" t="s">
        <v>716</v>
      </c>
      <c r="D289" s="13" t="s">
        <v>675</v>
      </c>
      <c r="E289" s="13" t="s">
        <v>717</v>
      </c>
      <c r="F289" s="11" t="s">
        <v>36</v>
      </c>
      <c r="G289" s="13" t="s">
        <v>726</v>
      </c>
    </row>
    <row r="290" spans="1:7" ht="16" x14ac:dyDescent="0.2">
      <c r="A290" s="14" t="s">
        <v>727</v>
      </c>
      <c r="B290" s="15">
        <v>8</v>
      </c>
      <c r="C290" s="14" t="s">
        <v>728</v>
      </c>
      <c r="D290" s="16" t="s">
        <v>675</v>
      </c>
      <c r="E290" s="16" t="s">
        <v>729</v>
      </c>
      <c r="F290" s="14" t="s">
        <v>24</v>
      </c>
      <c r="G290" s="16" t="s">
        <v>730</v>
      </c>
    </row>
    <row r="291" spans="1:7" ht="16" x14ac:dyDescent="0.2">
      <c r="A291" s="14" t="s">
        <v>731</v>
      </c>
      <c r="B291" s="15">
        <v>5</v>
      </c>
      <c r="C291" s="14" t="s">
        <v>728</v>
      </c>
      <c r="D291" s="16" t="s">
        <v>675</v>
      </c>
      <c r="E291" s="16" t="s">
        <v>729</v>
      </c>
      <c r="F291" s="14" t="s">
        <v>27</v>
      </c>
      <c r="G291" s="16" t="s">
        <v>732</v>
      </c>
    </row>
    <row r="292" spans="1:7" ht="16" x14ac:dyDescent="0.2">
      <c r="A292" s="14" t="s">
        <v>733</v>
      </c>
      <c r="B292" s="15">
        <v>3</v>
      </c>
      <c r="C292" s="14" t="s">
        <v>728</v>
      </c>
      <c r="D292" s="16" t="s">
        <v>675</v>
      </c>
      <c r="E292" s="16" t="s">
        <v>729</v>
      </c>
      <c r="F292" s="14" t="s">
        <v>30</v>
      </c>
      <c r="G292" s="16" t="s">
        <v>734</v>
      </c>
    </row>
    <row r="293" spans="1:7" ht="16" x14ac:dyDescent="0.2">
      <c r="A293" s="14" t="s">
        <v>735</v>
      </c>
      <c r="B293" s="15">
        <v>1.5</v>
      </c>
      <c r="C293" s="14" t="s">
        <v>728</v>
      </c>
      <c r="D293" s="16" t="s">
        <v>675</v>
      </c>
      <c r="E293" s="16" t="s">
        <v>729</v>
      </c>
      <c r="F293" s="14" t="s">
        <v>33</v>
      </c>
      <c r="G293" s="16" t="s">
        <v>736</v>
      </c>
    </row>
    <row r="294" spans="1:7" ht="16" x14ac:dyDescent="0.2">
      <c r="A294" s="11" t="s">
        <v>737</v>
      </c>
      <c r="B294" s="12">
        <v>6</v>
      </c>
      <c r="C294" s="11" t="s">
        <v>738</v>
      </c>
      <c r="D294" s="13" t="s">
        <v>675</v>
      </c>
      <c r="E294" s="13" t="s">
        <v>739</v>
      </c>
      <c r="F294" s="11" t="s">
        <v>24</v>
      </c>
      <c r="G294" s="13" t="s">
        <v>740</v>
      </c>
    </row>
    <row r="295" spans="1:7" ht="16" x14ac:dyDescent="0.2">
      <c r="A295" s="11" t="s">
        <v>741</v>
      </c>
      <c r="B295" s="12">
        <v>5</v>
      </c>
      <c r="C295" s="11" t="s">
        <v>738</v>
      </c>
      <c r="D295" s="13" t="s">
        <v>675</v>
      </c>
      <c r="E295" s="13" t="s">
        <v>739</v>
      </c>
      <c r="F295" s="11" t="s">
        <v>27</v>
      </c>
      <c r="G295" s="13" t="s">
        <v>742</v>
      </c>
    </row>
    <row r="296" spans="1:7" ht="16" x14ac:dyDescent="0.2">
      <c r="A296" s="11" t="s">
        <v>743</v>
      </c>
      <c r="B296" s="12">
        <v>3</v>
      </c>
      <c r="C296" s="11" t="s">
        <v>738</v>
      </c>
      <c r="D296" s="13" t="s">
        <v>675</v>
      </c>
      <c r="E296" s="13" t="s">
        <v>739</v>
      </c>
      <c r="F296" s="11" t="s">
        <v>30</v>
      </c>
      <c r="G296" s="13" t="s">
        <v>744</v>
      </c>
    </row>
    <row r="297" spans="1:7" ht="16" x14ac:dyDescent="0.2">
      <c r="A297" s="11" t="s">
        <v>745</v>
      </c>
      <c r="B297" s="12">
        <v>1.5</v>
      </c>
      <c r="C297" s="11" t="s">
        <v>738</v>
      </c>
      <c r="D297" s="13" t="s">
        <v>675</v>
      </c>
      <c r="E297" s="13" t="s">
        <v>739</v>
      </c>
      <c r="F297" s="11" t="s">
        <v>33</v>
      </c>
      <c r="G297" s="13" t="s">
        <v>746</v>
      </c>
    </row>
    <row r="298" spans="1:7" ht="16" x14ac:dyDescent="0.2">
      <c r="A298" s="14" t="s">
        <v>747</v>
      </c>
      <c r="B298" s="15">
        <v>7</v>
      </c>
      <c r="C298" s="14" t="s">
        <v>748</v>
      </c>
      <c r="D298" s="16" t="s">
        <v>675</v>
      </c>
      <c r="E298" s="16" t="s">
        <v>749</v>
      </c>
      <c r="F298" s="14" t="s">
        <v>24</v>
      </c>
      <c r="G298" s="16" t="s">
        <v>750</v>
      </c>
    </row>
    <row r="299" spans="1:7" ht="16" x14ac:dyDescent="0.2">
      <c r="A299" s="14" t="s">
        <v>751</v>
      </c>
      <c r="B299" s="15">
        <v>5</v>
      </c>
      <c r="C299" s="14" t="s">
        <v>748</v>
      </c>
      <c r="D299" s="16" t="s">
        <v>675</v>
      </c>
      <c r="E299" s="16" t="s">
        <v>749</v>
      </c>
      <c r="F299" s="14" t="s">
        <v>27</v>
      </c>
      <c r="G299" s="16" t="s">
        <v>752</v>
      </c>
    </row>
    <row r="300" spans="1:7" ht="16" x14ac:dyDescent="0.2">
      <c r="A300" s="14" t="s">
        <v>753</v>
      </c>
      <c r="B300" s="15">
        <v>3</v>
      </c>
      <c r="C300" s="14" t="s">
        <v>748</v>
      </c>
      <c r="D300" s="16" t="s">
        <v>675</v>
      </c>
      <c r="E300" s="16" t="s">
        <v>749</v>
      </c>
      <c r="F300" s="14" t="s">
        <v>30</v>
      </c>
      <c r="G300" s="16" t="s">
        <v>754</v>
      </c>
    </row>
    <row r="301" spans="1:7" ht="16" x14ac:dyDescent="0.2">
      <c r="A301" s="14" t="s">
        <v>755</v>
      </c>
      <c r="B301" s="15">
        <v>1.5</v>
      </c>
      <c r="C301" s="14" t="s">
        <v>748</v>
      </c>
      <c r="D301" s="16" t="s">
        <v>675</v>
      </c>
      <c r="E301" s="16" t="s">
        <v>749</v>
      </c>
      <c r="F301" s="14" t="s">
        <v>33</v>
      </c>
      <c r="G301" s="16" t="s">
        <v>756</v>
      </c>
    </row>
    <row r="302" spans="1:7" ht="16" x14ac:dyDescent="0.2">
      <c r="A302" s="11" t="s">
        <v>757</v>
      </c>
      <c r="B302" s="12">
        <v>5</v>
      </c>
      <c r="C302" s="11" t="s">
        <v>758</v>
      </c>
      <c r="D302" s="13" t="s">
        <v>675</v>
      </c>
      <c r="E302" s="13" t="s">
        <v>759</v>
      </c>
      <c r="F302" s="11" t="s">
        <v>24</v>
      </c>
      <c r="G302" s="13" t="s">
        <v>760</v>
      </c>
    </row>
    <row r="303" spans="1:7" ht="16" x14ac:dyDescent="0.2">
      <c r="A303" s="11" t="s">
        <v>761</v>
      </c>
      <c r="B303" s="12">
        <v>3.5</v>
      </c>
      <c r="C303" s="11" t="s">
        <v>758</v>
      </c>
      <c r="D303" s="13" t="s">
        <v>675</v>
      </c>
      <c r="E303" s="13" t="s">
        <v>759</v>
      </c>
      <c r="F303" s="11" t="s">
        <v>27</v>
      </c>
      <c r="G303" s="13" t="s">
        <v>762</v>
      </c>
    </row>
    <row r="304" spans="1:7" ht="16" x14ac:dyDescent="0.2">
      <c r="A304" s="11" t="s">
        <v>763</v>
      </c>
      <c r="B304" s="12">
        <v>3</v>
      </c>
      <c r="C304" s="11" t="s">
        <v>758</v>
      </c>
      <c r="D304" s="13" t="s">
        <v>675</v>
      </c>
      <c r="E304" s="13" t="s">
        <v>759</v>
      </c>
      <c r="F304" s="11" t="s">
        <v>30</v>
      </c>
      <c r="G304" s="13" t="s">
        <v>764</v>
      </c>
    </row>
    <row r="305" spans="1:7" ht="16" x14ac:dyDescent="0.2">
      <c r="A305" s="11" t="s">
        <v>765</v>
      </c>
      <c r="B305" s="12">
        <v>1.5</v>
      </c>
      <c r="C305" s="11" t="s">
        <v>758</v>
      </c>
      <c r="D305" s="13" t="s">
        <v>675</v>
      </c>
      <c r="E305" s="13" t="s">
        <v>759</v>
      </c>
      <c r="F305" s="11" t="s">
        <v>33</v>
      </c>
      <c r="G305" s="13" t="s">
        <v>766</v>
      </c>
    </row>
    <row r="306" spans="1:7" ht="16" x14ac:dyDescent="0.2">
      <c r="A306" s="14" t="s">
        <v>767</v>
      </c>
      <c r="B306" s="15">
        <v>7</v>
      </c>
      <c r="C306" s="14" t="s">
        <v>768</v>
      </c>
      <c r="D306" s="16" t="s">
        <v>675</v>
      </c>
      <c r="E306" s="16" t="s">
        <v>769</v>
      </c>
      <c r="F306" s="14" t="s">
        <v>24</v>
      </c>
      <c r="G306" s="16" t="s">
        <v>770</v>
      </c>
    </row>
    <row r="307" spans="1:7" ht="16" x14ac:dyDescent="0.2">
      <c r="A307" s="14" t="s">
        <v>771</v>
      </c>
      <c r="B307" s="15">
        <v>5</v>
      </c>
      <c r="C307" s="14" t="s">
        <v>768</v>
      </c>
      <c r="D307" s="16" t="s">
        <v>675</v>
      </c>
      <c r="E307" s="16" t="s">
        <v>769</v>
      </c>
      <c r="F307" s="14" t="s">
        <v>27</v>
      </c>
      <c r="G307" s="16" t="s">
        <v>772</v>
      </c>
    </row>
    <row r="308" spans="1:7" ht="16" x14ac:dyDescent="0.2">
      <c r="A308" s="14" t="s">
        <v>773</v>
      </c>
      <c r="B308" s="15">
        <v>3</v>
      </c>
      <c r="C308" s="14" t="s">
        <v>768</v>
      </c>
      <c r="D308" s="16" t="s">
        <v>675</v>
      </c>
      <c r="E308" s="16" t="s">
        <v>769</v>
      </c>
      <c r="F308" s="14" t="s">
        <v>30</v>
      </c>
      <c r="G308" s="16" t="s">
        <v>774</v>
      </c>
    </row>
    <row r="309" spans="1:7" ht="16" x14ac:dyDescent="0.2">
      <c r="A309" s="14" t="s">
        <v>775</v>
      </c>
      <c r="B309" s="15">
        <v>2</v>
      </c>
      <c r="C309" s="14" t="s">
        <v>768</v>
      </c>
      <c r="D309" s="16" t="s">
        <v>675</v>
      </c>
      <c r="E309" s="16" t="s">
        <v>769</v>
      </c>
      <c r="F309" s="14" t="s">
        <v>33</v>
      </c>
      <c r="G309" s="16" t="s">
        <v>776</v>
      </c>
    </row>
    <row r="310" spans="1:7" ht="16" x14ac:dyDescent="0.2">
      <c r="A310" s="11" t="s">
        <v>777</v>
      </c>
      <c r="B310" s="12">
        <v>8</v>
      </c>
      <c r="C310" s="11" t="s">
        <v>778</v>
      </c>
      <c r="D310" s="13" t="s">
        <v>779</v>
      </c>
      <c r="E310" s="13" t="s">
        <v>780</v>
      </c>
      <c r="F310" s="11" t="s">
        <v>24</v>
      </c>
      <c r="G310" s="13" t="s">
        <v>781</v>
      </c>
    </row>
    <row r="311" spans="1:7" ht="16" x14ac:dyDescent="0.2">
      <c r="A311" s="11" t="s">
        <v>782</v>
      </c>
      <c r="B311" s="12">
        <v>6</v>
      </c>
      <c r="C311" s="11" t="s">
        <v>778</v>
      </c>
      <c r="D311" s="13" t="s">
        <v>779</v>
      </c>
      <c r="E311" s="13" t="s">
        <v>780</v>
      </c>
      <c r="F311" s="11" t="s">
        <v>27</v>
      </c>
      <c r="G311" s="13" t="s">
        <v>783</v>
      </c>
    </row>
    <row r="312" spans="1:7" ht="16" x14ac:dyDescent="0.2">
      <c r="A312" s="11" t="s">
        <v>784</v>
      </c>
      <c r="B312" s="12">
        <v>4</v>
      </c>
      <c r="C312" s="11" t="s">
        <v>778</v>
      </c>
      <c r="D312" s="13" t="s">
        <v>779</v>
      </c>
      <c r="E312" s="13" t="s">
        <v>780</v>
      </c>
      <c r="F312" s="11" t="s">
        <v>30</v>
      </c>
      <c r="G312" s="13" t="s">
        <v>785</v>
      </c>
    </row>
    <row r="313" spans="1:7" ht="16" x14ac:dyDescent="0.2">
      <c r="A313" s="11" t="s">
        <v>786</v>
      </c>
      <c r="B313" s="12">
        <v>2.5</v>
      </c>
      <c r="C313" s="11" t="s">
        <v>778</v>
      </c>
      <c r="D313" s="13" t="s">
        <v>779</v>
      </c>
      <c r="E313" s="13" t="s">
        <v>780</v>
      </c>
      <c r="F313" s="11" t="s">
        <v>33</v>
      </c>
      <c r="G313" s="13" t="s">
        <v>787</v>
      </c>
    </row>
    <row r="314" spans="1:7" ht="16" x14ac:dyDescent="0.2">
      <c r="A314" s="11" t="s">
        <v>788</v>
      </c>
      <c r="B314" s="12">
        <v>1</v>
      </c>
      <c r="C314" s="11" t="s">
        <v>778</v>
      </c>
      <c r="D314" s="13" t="s">
        <v>779</v>
      </c>
      <c r="E314" s="13" t="s">
        <v>780</v>
      </c>
      <c r="F314" s="11" t="s">
        <v>36</v>
      </c>
      <c r="G314" s="13" t="s">
        <v>789</v>
      </c>
    </row>
    <row r="315" spans="1:7" ht="16" x14ac:dyDescent="0.2">
      <c r="A315" s="14" t="s">
        <v>790</v>
      </c>
      <c r="B315" s="15">
        <v>7</v>
      </c>
      <c r="C315" s="14" t="s">
        <v>791</v>
      </c>
      <c r="D315" s="16" t="s">
        <v>779</v>
      </c>
      <c r="E315" s="16" t="s">
        <v>792</v>
      </c>
      <c r="F315" s="14" t="s">
        <v>24</v>
      </c>
      <c r="G315" s="16" t="s">
        <v>793</v>
      </c>
    </row>
    <row r="316" spans="1:7" ht="16" x14ac:dyDescent="0.2">
      <c r="A316" s="14" t="s">
        <v>794</v>
      </c>
      <c r="B316" s="15">
        <v>5</v>
      </c>
      <c r="C316" s="14" t="s">
        <v>791</v>
      </c>
      <c r="D316" s="16" t="s">
        <v>779</v>
      </c>
      <c r="E316" s="16" t="s">
        <v>792</v>
      </c>
      <c r="F316" s="14" t="s">
        <v>27</v>
      </c>
      <c r="G316" s="16" t="s">
        <v>795</v>
      </c>
    </row>
    <row r="317" spans="1:7" ht="16" x14ac:dyDescent="0.2">
      <c r="A317" s="14" t="s">
        <v>796</v>
      </c>
      <c r="B317" s="15">
        <v>3</v>
      </c>
      <c r="C317" s="14" t="s">
        <v>791</v>
      </c>
      <c r="D317" s="16" t="s">
        <v>779</v>
      </c>
      <c r="E317" s="16" t="s">
        <v>792</v>
      </c>
      <c r="F317" s="14" t="s">
        <v>30</v>
      </c>
      <c r="G317" s="16" t="s">
        <v>797</v>
      </c>
    </row>
    <row r="318" spans="1:7" ht="16" x14ac:dyDescent="0.2">
      <c r="A318" s="14" t="s">
        <v>798</v>
      </c>
      <c r="B318" s="15">
        <v>1.5</v>
      </c>
      <c r="C318" s="14" t="s">
        <v>791</v>
      </c>
      <c r="D318" s="16" t="s">
        <v>779</v>
      </c>
      <c r="E318" s="16" t="s">
        <v>792</v>
      </c>
      <c r="F318" s="14" t="s">
        <v>33</v>
      </c>
      <c r="G318" s="16" t="s">
        <v>799</v>
      </c>
    </row>
    <row r="319" spans="1:7" ht="16" x14ac:dyDescent="0.2">
      <c r="A319" s="11" t="s">
        <v>800</v>
      </c>
      <c r="B319" s="12">
        <v>7</v>
      </c>
      <c r="C319" s="11" t="s">
        <v>801</v>
      </c>
      <c r="D319" s="13" t="s">
        <v>779</v>
      </c>
      <c r="E319" s="13" t="s">
        <v>802</v>
      </c>
      <c r="F319" s="11" t="s">
        <v>24</v>
      </c>
      <c r="G319" s="13" t="s">
        <v>803</v>
      </c>
    </row>
    <row r="320" spans="1:7" ht="16" x14ac:dyDescent="0.2">
      <c r="A320" s="11" t="s">
        <v>804</v>
      </c>
      <c r="B320" s="12">
        <v>5</v>
      </c>
      <c r="C320" s="11" t="s">
        <v>801</v>
      </c>
      <c r="D320" s="13" t="s">
        <v>779</v>
      </c>
      <c r="E320" s="13" t="s">
        <v>802</v>
      </c>
      <c r="F320" s="11" t="s">
        <v>27</v>
      </c>
      <c r="G320" s="13" t="s">
        <v>805</v>
      </c>
    </row>
    <row r="321" spans="1:7" ht="16" x14ac:dyDescent="0.2">
      <c r="A321" s="11" t="s">
        <v>806</v>
      </c>
      <c r="B321" s="12">
        <v>3</v>
      </c>
      <c r="C321" s="11" t="s">
        <v>801</v>
      </c>
      <c r="D321" s="13" t="s">
        <v>779</v>
      </c>
      <c r="E321" s="13" t="s">
        <v>802</v>
      </c>
      <c r="F321" s="11" t="s">
        <v>30</v>
      </c>
      <c r="G321" s="13" t="s">
        <v>807</v>
      </c>
    </row>
    <row r="322" spans="1:7" ht="16" x14ac:dyDescent="0.2">
      <c r="A322" s="11" t="s">
        <v>808</v>
      </c>
      <c r="B322" s="12">
        <v>2</v>
      </c>
      <c r="C322" s="11" t="s">
        <v>801</v>
      </c>
      <c r="D322" s="13" t="s">
        <v>779</v>
      </c>
      <c r="E322" s="13" t="s">
        <v>802</v>
      </c>
      <c r="F322" s="11" t="s">
        <v>33</v>
      </c>
      <c r="G322" s="13" t="s">
        <v>809</v>
      </c>
    </row>
    <row r="323" spans="1:7" ht="16" x14ac:dyDescent="0.2">
      <c r="A323" s="14" t="s">
        <v>810</v>
      </c>
      <c r="B323" s="15">
        <v>5</v>
      </c>
      <c r="C323" s="14" t="s">
        <v>811</v>
      </c>
      <c r="D323" s="16" t="s">
        <v>779</v>
      </c>
      <c r="E323" s="16" t="s">
        <v>812</v>
      </c>
      <c r="F323" s="14" t="s">
        <v>24</v>
      </c>
      <c r="G323" s="16" t="s">
        <v>813</v>
      </c>
    </row>
    <row r="324" spans="1:7" ht="16" x14ac:dyDescent="0.2">
      <c r="A324" s="14" t="s">
        <v>814</v>
      </c>
      <c r="B324" s="15">
        <v>4</v>
      </c>
      <c r="C324" s="14" t="s">
        <v>811</v>
      </c>
      <c r="D324" s="16" t="s">
        <v>779</v>
      </c>
      <c r="E324" s="16" t="s">
        <v>812</v>
      </c>
      <c r="F324" s="14" t="s">
        <v>27</v>
      </c>
      <c r="G324" s="16" t="s">
        <v>815</v>
      </c>
    </row>
    <row r="325" spans="1:7" ht="16" x14ac:dyDescent="0.2">
      <c r="A325" s="14" t="s">
        <v>816</v>
      </c>
      <c r="B325" s="15">
        <v>3</v>
      </c>
      <c r="C325" s="14" t="s">
        <v>811</v>
      </c>
      <c r="D325" s="16" t="s">
        <v>779</v>
      </c>
      <c r="E325" s="16" t="s">
        <v>812</v>
      </c>
      <c r="F325" s="14" t="s">
        <v>30</v>
      </c>
      <c r="G325" s="16" t="s">
        <v>817</v>
      </c>
    </row>
    <row r="326" spans="1:7" ht="16" x14ac:dyDescent="0.2">
      <c r="A326" s="14" t="s">
        <v>818</v>
      </c>
      <c r="B326" s="15">
        <v>2</v>
      </c>
      <c r="C326" s="14" t="s">
        <v>811</v>
      </c>
      <c r="D326" s="16" t="s">
        <v>779</v>
      </c>
      <c r="E326" s="16" t="s">
        <v>812</v>
      </c>
      <c r="F326" s="14" t="s">
        <v>33</v>
      </c>
      <c r="G326" s="16" t="s">
        <v>819</v>
      </c>
    </row>
    <row r="327" spans="1:7" ht="16" x14ac:dyDescent="0.2">
      <c r="A327" s="11" t="s">
        <v>820</v>
      </c>
      <c r="B327" s="12">
        <v>9</v>
      </c>
      <c r="C327" s="11" t="s">
        <v>821</v>
      </c>
      <c r="D327" s="13" t="s">
        <v>779</v>
      </c>
      <c r="E327" s="13" t="s">
        <v>822</v>
      </c>
      <c r="F327" s="11" t="s">
        <v>24</v>
      </c>
      <c r="G327" s="13" t="s">
        <v>823</v>
      </c>
    </row>
    <row r="328" spans="1:7" ht="16" x14ac:dyDescent="0.2">
      <c r="A328" s="11" t="s">
        <v>824</v>
      </c>
      <c r="B328" s="12">
        <v>6</v>
      </c>
      <c r="C328" s="11" t="s">
        <v>821</v>
      </c>
      <c r="D328" s="13" t="s">
        <v>779</v>
      </c>
      <c r="E328" s="13" t="s">
        <v>822</v>
      </c>
      <c r="F328" s="11" t="s">
        <v>27</v>
      </c>
      <c r="G328" s="13" t="s">
        <v>825</v>
      </c>
    </row>
    <row r="329" spans="1:7" ht="16" x14ac:dyDescent="0.2">
      <c r="A329" s="11" t="s">
        <v>826</v>
      </c>
      <c r="B329" s="12">
        <v>4</v>
      </c>
      <c r="C329" s="11" t="s">
        <v>821</v>
      </c>
      <c r="D329" s="13" t="s">
        <v>779</v>
      </c>
      <c r="E329" s="13" t="s">
        <v>822</v>
      </c>
      <c r="F329" s="11" t="s">
        <v>30</v>
      </c>
      <c r="G329" s="13" t="s">
        <v>827</v>
      </c>
    </row>
    <row r="330" spans="1:7" ht="16" x14ac:dyDescent="0.2">
      <c r="A330" s="11" t="s">
        <v>828</v>
      </c>
      <c r="B330" s="12">
        <v>2</v>
      </c>
      <c r="C330" s="11" t="s">
        <v>821</v>
      </c>
      <c r="D330" s="13" t="s">
        <v>779</v>
      </c>
      <c r="E330" s="13" t="s">
        <v>822</v>
      </c>
      <c r="F330" s="11" t="s">
        <v>33</v>
      </c>
      <c r="G330" s="13" t="s">
        <v>829</v>
      </c>
    </row>
    <row r="331" spans="1:7" ht="16" x14ac:dyDescent="0.2">
      <c r="A331" s="11" t="s">
        <v>830</v>
      </c>
      <c r="B331" s="12">
        <v>1</v>
      </c>
      <c r="C331" s="11" t="s">
        <v>821</v>
      </c>
      <c r="D331" s="13" t="s">
        <v>779</v>
      </c>
      <c r="E331" s="13" t="s">
        <v>822</v>
      </c>
      <c r="F331" s="11" t="s">
        <v>36</v>
      </c>
      <c r="G331" s="13" t="s">
        <v>831</v>
      </c>
    </row>
    <row r="332" spans="1:7" ht="16" x14ac:dyDescent="0.2">
      <c r="A332" s="14" t="s">
        <v>832</v>
      </c>
      <c r="B332" s="15">
        <v>8</v>
      </c>
      <c r="C332" s="14" t="s">
        <v>833</v>
      </c>
      <c r="D332" s="16" t="s">
        <v>779</v>
      </c>
      <c r="E332" s="16" t="s">
        <v>834</v>
      </c>
      <c r="F332" s="14" t="s">
        <v>24</v>
      </c>
      <c r="G332" s="16" t="s">
        <v>835</v>
      </c>
    </row>
    <row r="333" spans="1:7" ht="16" x14ac:dyDescent="0.2">
      <c r="A333" s="14" t="s">
        <v>836</v>
      </c>
      <c r="B333" s="15">
        <v>5</v>
      </c>
      <c r="C333" s="14" t="s">
        <v>833</v>
      </c>
      <c r="D333" s="16" t="s">
        <v>779</v>
      </c>
      <c r="E333" s="16" t="s">
        <v>834</v>
      </c>
      <c r="F333" s="14" t="s">
        <v>27</v>
      </c>
      <c r="G333" s="16" t="s">
        <v>837</v>
      </c>
    </row>
    <row r="334" spans="1:7" ht="16" x14ac:dyDescent="0.2">
      <c r="A334" s="14" t="s">
        <v>838</v>
      </c>
      <c r="B334" s="15">
        <v>3</v>
      </c>
      <c r="C334" s="14" t="s">
        <v>833</v>
      </c>
      <c r="D334" s="16" t="s">
        <v>779</v>
      </c>
      <c r="E334" s="16" t="s">
        <v>834</v>
      </c>
      <c r="F334" s="14" t="s">
        <v>30</v>
      </c>
      <c r="G334" s="16" t="s">
        <v>839</v>
      </c>
    </row>
    <row r="335" spans="1:7" ht="16" x14ac:dyDescent="0.2">
      <c r="A335" s="14" t="s">
        <v>840</v>
      </c>
      <c r="B335" s="15">
        <v>1.5</v>
      </c>
      <c r="C335" s="14" t="s">
        <v>833</v>
      </c>
      <c r="D335" s="16" t="s">
        <v>779</v>
      </c>
      <c r="E335" s="16" t="s">
        <v>834</v>
      </c>
      <c r="F335" s="14" t="s">
        <v>33</v>
      </c>
      <c r="G335" s="16" t="s">
        <v>841</v>
      </c>
    </row>
    <row r="336" spans="1:7" ht="16" x14ac:dyDescent="0.2">
      <c r="A336" s="11" t="s">
        <v>842</v>
      </c>
      <c r="B336" s="12">
        <v>5</v>
      </c>
      <c r="C336" s="11" t="s">
        <v>843</v>
      </c>
      <c r="D336" s="13" t="s">
        <v>779</v>
      </c>
      <c r="E336" s="13" t="s">
        <v>844</v>
      </c>
      <c r="F336" s="11" t="s">
        <v>24</v>
      </c>
      <c r="G336" s="13" t="s">
        <v>845</v>
      </c>
    </row>
    <row r="337" spans="1:7" ht="16" x14ac:dyDescent="0.2">
      <c r="A337" s="11" t="s">
        <v>846</v>
      </c>
      <c r="B337" s="12">
        <v>4</v>
      </c>
      <c r="C337" s="11" t="s">
        <v>843</v>
      </c>
      <c r="D337" s="13" t="s">
        <v>779</v>
      </c>
      <c r="E337" s="13" t="s">
        <v>844</v>
      </c>
      <c r="F337" s="11" t="s">
        <v>27</v>
      </c>
      <c r="G337" s="13" t="s">
        <v>847</v>
      </c>
    </row>
    <row r="338" spans="1:7" ht="16" x14ac:dyDescent="0.2">
      <c r="A338" s="11" t="s">
        <v>848</v>
      </c>
      <c r="B338" s="12">
        <v>3</v>
      </c>
      <c r="C338" s="11" t="s">
        <v>843</v>
      </c>
      <c r="D338" s="13" t="s">
        <v>779</v>
      </c>
      <c r="E338" s="13" t="s">
        <v>844</v>
      </c>
      <c r="F338" s="11" t="s">
        <v>30</v>
      </c>
      <c r="G338" s="13" t="s">
        <v>849</v>
      </c>
    </row>
    <row r="339" spans="1:7" ht="16" x14ac:dyDescent="0.2">
      <c r="A339" s="11" t="s">
        <v>850</v>
      </c>
      <c r="B339" s="12">
        <v>1.5</v>
      </c>
      <c r="C339" s="11" t="s">
        <v>843</v>
      </c>
      <c r="D339" s="13" t="s">
        <v>779</v>
      </c>
      <c r="E339" s="13" t="s">
        <v>844</v>
      </c>
      <c r="F339" s="11" t="s">
        <v>33</v>
      </c>
      <c r="G339" s="13" t="s">
        <v>851</v>
      </c>
    </row>
    <row r="340" spans="1:7" ht="16" x14ac:dyDescent="0.2">
      <c r="A340" s="14" t="s">
        <v>852</v>
      </c>
      <c r="B340" s="15">
        <v>8</v>
      </c>
      <c r="C340" s="14" t="s">
        <v>853</v>
      </c>
      <c r="D340" s="16" t="s">
        <v>779</v>
      </c>
      <c r="E340" s="16" t="s">
        <v>854</v>
      </c>
      <c r="F340" s="14" t="s">
        <v>24</v>
      </c>
      <c r="G340" s="16" t="s">
        <v>855</v>
      </c>
    </row>
    <row r="341" spans="1:7" ht="16" x14ac:dyDescent="0.2">
      <c r="A341" s="14" t="s">
        <v>856</v>
      </c>
      <c r="B341" s="15">
        <v>6</v>
      </c>
      <c r="C341" s="14" t="s">
        <v>853</v>
      </c>
      <c r="D341" s="16" t="s">
        <v>779</v>
      </c>
      <c r="E341" s="16" t="s">
        <v>854</v>
      </c>
      <c r="F341" s="14" t="s">
        <v>27</v>
      </c>
      <c r="G341" s="16" t="s">
        <v>857</v>
      </c>
    </row>
    <row r="342" spans="1:7" ht="16" x14ac:dyDescent="0.2">
      <c r="A342" s="14" t="s">
        <v>858</v>
      </c>
      <c r="B342" s="15">
        <v>4</v>
      </c>
      <c r="C342" s="14" t="s">
        <v>853</v>
      </c>
      <c r="D342" s="16" t="s">
        <v>779</v>
      </c>
      <c r="E342" s="16" t="s">
        <v>854</v>
      </c>
      <c r="F342" s="14" t="s">
        <v>30</v>
      </c>
      <c r="G342" s="16" t="s">
        <v>859</v>
      </c>
    </row>
    <row r="343" spans="1:7" ht="16" x14ac:dyDescent="0.2">
      <c r="A343" s="14" t="s">
        <v>860</v>
      </c>
      <c r="B343" s="15">
        <v>2</v>
      </c>
      <c r="C343" s="14" t="s">
        <v>853</v>
      </c>
      <c r="D343" s="16" t="s">
        <v>779</v>
      </c>
      <c r="E343" s="16" t="s">
        <v>854</v>
      </c>
      <c r="F343" s="14" t="s">
        <v>33</v>
      </c>
      <c r="G343" s="16" t="s">
        <v>861</v>
      </c>
    </row>
    <row r="344" spans="1:7" ht="16" x14ac:dyDescent="0.2">
      <c r="A344" s="11" t="s">
        <v>862</v>
      </c>
      <c r="B344" s="12">
        <v>8</v>
      </c>
      <c r="C344" s="11" t="s">
        <v>863</v>
      </c>
      <c r="D344" s="13" t="s">
        <v>779</v>
      </c>
      <c r="E344" s="13" t="s">
        <v>864</v>
      </c>
      <c r="F344" s="11" t="s">
        <v>24</v>
      </c>
      <c r="G344" s="13" t="s">
        <v>865</v>
      </c>
    </row>
    <row r="345" spans="1:7" ht="16" x14ac:dyDescent="0.2">
      <c r="A345" s="11" t="s">
        <v>866</v>
      </c>
      <c r="B345" s="12">
        <v>5</v>
      </c>
      <c r="C345" s="11" t="s">
        <v>863</v>
      </c>
      <c r="D345" s="13" t="s">
        <v>779</v>
      </c>
      <c r="E345" s="13" t="s">
        <v>864</v>
      </c>
      <c r="F345" s="11" t="s">
        <v>27</v>
      </c>
      <c r="G345" s="13" t="s">
        <v>867</v>
      </c>
    </row>
    <row r="346" spans="1:7" ht="16" x14ac:dyDescent="0.2">
      <c r="A346" s="11" t="s">
        <v>868</v>
      </c>
      <c r="B346" s="12">
        <v>3</v>
      </c>
      <c r="C346" s="11" t="s">
        <v>863</v>
      </c>
      <c r="D346" s="13" t="s">
        <v>779</v>
      </c>
      <c r="E346" s="13" t="s">
        <v>864</v>
      </c>
      <c r="F346" s="11" t="s">
        <v>30</v>
      </c>
      <c r="G346" s="13" t="s">
        <v>869</v>
      </c>
    </row>
    <row r="347" spans="1:7" ht="16" x14ac:dyDescent="0.2">
      <c r="A347" s="11" t="s">
        <v>870</v>
      </c>
      <c r="B347" s="12">
        <v>1.5</v>
      </c>
      <c r="C347" s="11" t="s">
        <v>863</v>
      </c>
      <c r="D347" s="13" t="s">
        <v>779</v>
      </c>
      <c r="E347" s="13" t="s">
        <v>864</v>
      </c>
      <c r="F347" s="11" t="s">
        <v>33</v>
      </c>
      <c r="G347" s="13" t="s">
        <v>871</v>
      </c>
    </row>
    <row r="348" spans="1:7" ht="16" x14ac:dyDescent="0.2">
      <c r="A348" s="14" t="s">
        <v>872</v>
      </c>
      <c r="B348" s="15">
        <v>9</v>
      </c>
      <c r="C348" s="14" t="s">
        <v>873</v>
      </c>
      <c r="D348" s="16" t="s">
        <v>779</v>
      </c>
      <c r="E348" s="16" t="s">
        <v>874</v>
      </c>
      <c r="F348" s="14" t="s">
        <v>24</v>
      </c>
      <c r="G348" s="16" t="s">
        <v>875</v>
      </c>
    </row>
    <row r="349" spans="1:7" ht="16" x14ac:dyDescent="0.2">
      <c r="A349" s="14" t="s">
        <v>876</v>
      </c>
      <c r="B349" s="15">
        <v>6</v>
      </c>
      <c r="C349" s="14" t="s">
        <v>873</v>
      </c>
      <c r="D349" s="16" t="s">
        <v>779</v>
      </c>
      <c r="E349" s="16" t="s">
        <v>874</v>
      </c>
      <c r="F349" s="14" t="s">
        <v>27</v>
      </c>
      <c r="G349" s="16" t="s">
        <v>877</v>
      </c>
    </row>
    <row r="350" spans="1:7" ht="16" x14ac:dyDescent="0.2">
      <c r="A350" s="14" t="s">
        <v>878</v>
      </c>
      <c r="B350" s="15">
        <v>4</v>
      </c>
      <c r="C350" s="14" t="s">
        <v>873</v>
      </c>
      <c r="D350" s="16" t="s">
        <v>779</v>
      </c>
      <c r="E350" s="16" t="s">
        <v>874</v>
      </c>
      <c r="F350" s="14" t="s">
        <v>30</v>
      </c>
      <c r="G350" s="16" t="s">
        <v>879</v>
      </c>
    </row>
    <row r="351" spans="1:7" ht="16" x14ac:dyDescent="0.2">
      <c r="A351" s="14" t="s">
        <v>880</v>
      </c>
      <c r="B351" s="15">
        <v>1.5</v>
      </c>
      <c r="C351" s="14" t="s">
        <v>873</v>
      </c>
      <c r="D351" s="16" t="s">
        <v>779</v>
      </c>
      <c r="E351" s="16" t="s">
        <v>874</v>
      </c>
      <c r="F351" s="14" t="s">
        <v>33</v>
      </c>
      <c r="G351" s="16" t="s">
        <v>881</v>
      </c>
    </row>
    <row r="352" spans="1:7" ht="16" x14ac:dyDescent="0.2">
      <c r="A352" s="11" t="s">
        <v>882</v>
      </c>
      <c r="B352" s="12">
        <v>8</v>
      </c>
      <c r="C352" s="11" t="s">
        <v>883</v>
      </c>
      <c r="D352" s="13" t="s">
        <v>884</v>
      </c>
      <c r="E352" s="13" t="s">
        <v>885</v>
      </c>
      <c r="F352" s="11" t="s">
        <v>24</v>
      </c>
      <c r="G352" s="13" t="s">
        <v>886</v>
      </c>
    </row>
    <row r="353" spans="1:7" ht="16" x14ac:dyDescent="0.2">
      <c r="A353" s="11" t="s">
        <v>887</v>
      </c>
      <c r="B353" s="12">
        <v>6</v>
      </c>
      <c r="C353" s="11" t="s">
        <v>883</v>
      </c>
      <c r="D353" s="13" t="s">
        <v>884</v>
      </c>
      <c r="E353" s="13" t="s">
        <v>885</v>
      </c>
      <c r="F353" s="11" t="s">
        <v>27</v>
      </c>
      <c r="G353" s="13" t="s">
        <v>888</v>
      </c>
    </row>
    <row r="354" spans="1:7" ht="16" x14ac:dyDescent="0.2">
      <c r="A354" s="11" t="s">
        <v>889</v>
      </c>
      <c r="B354" s="12">
        <v>4</v>
      </c>
      <c r="C354" s="11" t="s">
        <v>883</v>
      </c>
      <c r="D354" s="13" t="s">
        <v>884</v>
      </c>
      <c r="E354" s="13" t="s">
        <v>885</v>
      </c>
      <c r="F354" s="11" t="s">
        <v>30</v>
      </c>
      <c r="G354" s="13" t="s">
        <v>333</v>
      </c>
    </row>
    <row r="355" spans="1:7" ht="16" x14ac:dyDescent="0.2">
      <c r="A355" s="11" t="s">
        <v>890</v>
      </c>
      <c r="B355" s="12">
        <v>2</v>
      </c>
      <c r="C355" s="11" t="s">
        <v>883</v>
      </c>
      <c r="D355" s="13" t="s">
        <v>884</v>
      </c>
      <c r="E355" s="13" t="s">
        <v>885</v>
      </c>
      <c r="F355" s="11" t="s">
        <v>33</v>
      </c>
      <c r="G355" s="13" t="s">
        <v>891</v>
      </c>
    </row>
    <row r="356" spans="1:7" ht="16" x14ac:dyDescent="0.2">
      <c r="A356" s="14" t="s">
        <v>892</v>
      </c>
      <c r="B356" s="15">
        <v>8</v>
      </c>
      <c r="C356" s="14" t="s">
        <v>893</v>
      </c>
      <c r="D356" s="16" t="s">
        <v>884</v>
      </c>
      <c r="E356" s="16" t="s">
        <v>894</v>
      </c>
      <c r="F356" s="14" t="s">
        <v>24</v>
      </c>
      <c r="G356" s="16" t="s">
        <v>895</v>
      </c>
    </row>
    <row r="357" spans="1:7" ht="16" x14ac:dyDescent="0.2">
      <c r="A357" s="14" t="s">
        <v>896</v>
      </c>
      <c r="B357" s="15">
        <v>5</v>
      </c>
      <c r="C357" s="14" t="s">
        <v>893</v>
      </c>
      <c r="D357" s="16" t="s">
        <v>884</v>
      </c>
      <c r="E357" s="16" t="s">
        <v>894</v>
      </c>
      <c r="F357" s="14" t="s">
        <v>27</v>
      </c>
      <c r="G357" s="16" t="s">
        <v>897</v>
      </c>
    </row>
    <row r="358" spans="1:7" ht="16" x14ac:dyDescent="0.2">
      <c r="A358" s="14" t="s">
        <v>898</v>
      </c>
      <c r="B358" s="15">
        <v>4</v>
      </c>
      <c r="C358" s="14" t="s">
        <v>893</v>
      </c>
      <c r="D358" s="16" t="s">
        <v>884</v>
      </c>
      <c r="E358" s="16" t="s">
        <v>894</v>
      </c>
      <c r="F358" s="14" t="s">
        <v>30</v>
      </c>
      <c r="G358" s="16" t="s">
        <v>343</v>
      </c>
    </row>
    <row r="359" spans="1:7" ht="16" x14ac:dyDescent="0.2">
      <c r="A359" s="14" t="s">
        <v>899</v>
      </c>
      <c r="B359" s="15">
        <v>2</v>
      </c>
      <c r="C359" s="14" t="s">
        <v>893</v>
      </c>
      <c r="D359" s="16" t="s">
        <v>884</v>
      </c>
      <c r="E359" s="16" t="s">
        <v>894</v>
      </c>
      <c r="F359" s="14" t="s">
        <v>33</v>
      </c>
      <c r="G359" s="16" t="s">
        <v>900</v>
      </c>
    </row>
    <row r="360" spans="1:7" ht="16" x14ac:dyDescent="0.2">
      <c r="A360" s="11" t="s">
        <v>901</v>
      </c>
      <c r="B360" s="12">
        <v>8</v>
      </c>
      <c r="C360" s="11" t="s">
        <v>902</v>
      </c>
      <c r="D360" s="13" t="s">
        <v>884</v>
      </c>
      <c r="E360" s="13" t="s">
        <v>903</v>
      </c>
      <c r="F360" s="11" t="s">
        <v>24</v>
      </c>
      <c r="G360" s="13" t="s">
        <v>904</v>
      </c>
    </row>
    <row r="361" spans="1:7" ht="16" x14ac:dyDescent="0.2">
      <c r="A361" s="11" t="s">
        <v>905</v>
      </c>
      <c r="B361" s="12">
        <v>5</v>
      </c>
      <c r="C361" s="11" t="s">
        <v>902</v>
      </c>
      <c r="D361" s="13" t="s">
        <v>884</v>
      </c>
      <c r="E361" s="13" t="s">
        <v>903</v>
      </c>
      <c r="F361" s="11" t="s">
        <v>27</v>
      </c>
      <c r="G361" s="13" t="s">
        <v>906</v>
      </c>
    </row>
    <row r="362" spans="1:7" ht="16" x14ac:dyDescent="0.2">
      <c r="A362" s="11" t="s">
        <v>907</v>
      </c>
      <c r="B362" s="12">
        <v>4</v>
      </c>
      <c r="C362" s="11" t="s">
        <v>902</v>
      </c>
      <c r="D362" s="13" t="s">
        <v>884</v>
      </c>
      <c r="E362" s="13" t="s">
        <v>903</v>
      </c>
      <c r="F362" s="11" t="s">
        <v>30</v>
      </c>
      <c r="G362" s="13" t="s">
        <v>908</v>
      </c>
    </row>
    <row r="363" spans="1:7" ht="16" x14ac:dyDescent="0.2">
      <c r="A363" s="11" t="s">
        <v>909</v>
      </c>
      <c r="B363" s="12">
        <v>1.5</v>
      </c>
      <c r="C363" s="11" t="s">
        <v>902</v>
      </c>
      <c r="D363" s="13" t="s">
        <v>884</v>
      </c>
      <c r="E363" s="13" t="s">
        <v>903</v>
      </c>
      <c r="F363" s="11" t="s">
        <v>33</v>
      </c>
      <c r="G363" s="13" t="s">
        <v>910</v>
      </c>
    </row>
    <row r="364" spans="1:7" ht="16" x14ac:dyDescent="0.2">
      <c r="A364" s="14" t="s">
        <v>911</v>
      </c>
      <c r="B364" s="15">
        <v>8</v>
      </c>
      <c r="C364" s="14" t="s">
        <v>912</v>
      </c>
      <c r="D364" s="16" t="s">
        <v>884</v>
      </c>
      <c r="E364" s="16" t="s">
        <v>913</v>
      </c>
      <c r="F364" s="14" t="s">
        <v>24</v>
      </c>
      <c r="G364" s="16" t="s">
        <v>914</v>
      </c>
    </row>
    <row r="365" spans="1:7" ht="16" x14ac:dyDescent="0.2">
      <c r="A365" s="14" t="s">
        <v>915</v>
      </c>
      <c r="B365" s="15">
        <v>6</v>
      </c>
      <c r="C365" s="14" t="s">
        <v>912</v>
      </c>
      <c r="D365" s="16" t="s">
        <v>884</v>
      </c>
      <c r="E365" s="16" t="s">
        <v>913</v>
      </c>
      <c r="F365" s="14" t="s">
        <v>27</v>
      </c>
      <c r="G365" s="16" t="s">
        <v>341</v>
      </c>
    </row>
    <row r="366" spans="1:7" ht="16" x14ac:dyDescent="0.2">
      <c r="A366" s="14" t="s">
        <v>916</v>
      </c>
      <c r="B366" s="15">
        <v>4</v>
      </c>
      <c r="C366" s="14" t="s">
        <v>912</v>
      </c>
      <c r="D366" s="16" t="s">
        <v>884</v>
      </c>
      <c r="E366" s="16" t="s">
        <v>913</v>
      </c>
      <c r="F366" s="14" t="s">
        <v>30</v>
      </c>
      <c r="G366" s="16" t="s">
        <v>917</v>
      </c>
    </row>
    <row r="367" spans="1:7" ht="16" x14ac:dyDescent="0.2">
      <c r="A367" s="14" t="s">
        <v>918</v>
      </c>
      <c r="B367" s="15">
        <v>2</v>
      </c>
      <c r="C367" s="14" t="s">
        <v>912</v>
      </c>
      <c r="D367" s="16" t="s">
        <v>884</v>
      </c>
      <c r="E367" s="16" t="s">
        <v>913</v>
      </c>
      <c r="F367" s="14" t="s">
        <v>33</v>
      </c>
      <c r="G367" s="16" t="s">
        <v>919</v>
      </c>
    </row>
    <row r="368" spans="1:7" ht="16" x14ac:dyDescent="0.2">
      <c r="A368" s="11" t="s">
        <v>920</v>
      </c>
      <c r="B368" s="12">
        <v>8</v>
      </c>
      <c r="C368" s="11" t="s">
        <v>921</v>
      </c>
      <c r="D368" s="13" t="s">
        <v>884</v>
      </c>
      <c r="E368" s="13" t="s">
        <v>922</v>
      </c>
      <c r="F368" s="11" t="s">
        <v>24</v>
      </c>
      <c r="G368" s="13" t="s">
        <v>923</v>
      </c>
    </row>
    <row r="369" spans="1:7" ht="16" x14ac:dyDescent="0.2">
      <c r="A369" s="11" t="s">
        <v>924</v>
      </c>
      <c r="B369" s="12">
        <v>5</v>
      </c>
      <c r="C369" s="11" t="s">
        <v>921</v>
      </c>
      <c r="D369" s="13" t="s">
        <v>884</v>
      </c>
      <c r="E369" s="13" t="s">
        <v>922</v>
      </c>
      <c r="F369" s="11" t="s">
        <v>27</v>
      </c>
      <c r="G369" s="13" t="s">
        <v>925</v>
      </c>
    </row>
    <row r="370" spans="1:7" ht="16" x14ac:dyDescent="0.2">
      <c r="A370" s="11" t="s">
        <v>926</v>
      </c>
      <c r="B370" s="12">
        <v>3</v>
      </c>
      <c r="C370" s="11" t="s">
        <v>921</v>
      </c>
      <c r="D370" s="13" t="s">
        <v>884</v>
      </c>
      <c r="E370" s="13" t="s">
        <v>922</v>
      </c>
      <c r="F370" s="11" t="s">
        <v>30</v>
      </c>
      <c r="G370" s="13" t="s">
        <v>927</v>
      </c>
    </row>
    <row r="371" spans="1:7" ht="16" x14ac:dyDescent="0.2">
      <c r="A371" s="11" t="s">
        <v>928</v>
      </c>
      <c r="B371" s="12">
        <v>1</v>
      </c>
      <c r="C371" s="11" t="s">
        <v>921</v>
      </c>
      <c r="D371" s="13" t="s">
        <v>884</v>
      </c>
      <c r="E371" s="13" t="s">
        <v>922</v>
      </c>
      <c r="F371" s="11" t="s">
        <v>33</v>
      </c>
      <c r="G371" s="13" t="s">
        <v>929</v>
      </c>
    </row>
    <row r="372" spans="1:7" ht="16" x14ac:dyDescent="0.2">
      <c r="A372" s="14" t="s">
        <v>930</v>
      </c>
      <c r="B372" s="15">
        <v>8</v>
      </c>
      <c r="C372" s="14" t="s">
        <v>931</v>
      </c>
      <c r="D372" s="16" t="s">
        <v>884</v>
      </c>
      <c r="E372" s="16" t="s">
        <v>932</v>
      </c>
      <c r="F372" s="14" t="s">
        <v>24</v>
      </c>
      <c r="G372" s="16" t="s">
        <v>933</v>
      </c>
    </row>
    <row r="373" spans="1:7" ht="16" x14ac:dyDescent="0.2">
      <c r="A373" s="14" t="s">
        <v>934</v>
      </c>
      <c r="B373" s="15">
        <v>5</v>
      </c>
      <c r="C373" s="14" t="s">
        <v>931</v>
      </c>
      <c r="D373" s="16" t="s">
        <v>884</v>
      </c>
      <c r="E373" s="16" t="s">
        <v>932</v>
      </c>
      <c r="F373" s="14" t="s">
        <v>27</v>
      </c>
      <c r="G373" s="16" t="s">
        <v>935</v>
      </c>
    </row>
    <row r="374" spans="1:7" ht="16" x14ac:dyDescent="0.2">
      <c r="A374" s="14" t="s">
        <v>936</v>
      </c>
      <c r="B374" s="15">
        <v>4</v>
      </c>
      <c r="C374" s="14" t="s">
        <v>931</v>
      </c>
      <c r="D374" s="16" t="s">
        <v>884</v>
      </c>
      <c r="E374" s="16" t="s">
        <v>932</v>
      </c>
      <c r="F374" s="14" t="s">
        <v>30</v>
      </c>
      <c r="G374" s="16" t="s">
        <v>937</v>
      </c>
    </row>
    <row r="375" spans="1:7" ht="16" x14ac:dyDescent="0.2">
      <c r="A375" s="14" t="s">
        <v>938</v>
      </c>
      <c r="B375" s="15">
        <v>2</v>
      </c>
      <c r="C375" s="14" t="s">
        <v>931</v>
      </c>
      <c r="D375" s="16" t="s">
        <v>884</v>
      </c>
      <c r="E375" s="16" t="s">
        <v>932</v>
      </c>
      <c r="F375" s="14" t="s">
        <v>33</v>
      </c>
      <c r="G375" s="16" t="s">
        <v>939</v>
      </c>
    </row>
    <row r="376" spans="1:7" ht="16" x14ac:dyDescent="0.2">
      <c r="A376" s="11" t="s">
        <v>940</v>
      </c>
      <c r="B376" s="12">
        <v>8</v>
      </c>
      <c r="C376" s="11" t="s">
        <v>941</v>
      </c>
      <c r="D376" s="13" t="s">
        <v>884</v>
      </c>
      <c r="E376" s="13" t="s">
        <v>942</v>
      </c>
      <c r="F376" s="11" t="s">
        <v>24</v>
      </c>
      <c r="G376" s="13" t="s">
        <v>943</v>
      </c>
    </row>
    <row r="377" spans="1:7" ht="16" x14ac:dyDescent="0.2">
      <c r="A377" s="11" t="s">
        <v>944</v>
      </c>
      <c r="B377" s="12">
        <v>5</v>
      </c>
      <c r="C377" s="11" t="s">
        <v>941</v>
      </c>
      <c r="D377" s="13" t="s">
        <v>884</v>
      </c>
      <c r="E377" s="13" t="s">
        <v>942</v>
      </c>
      <c r="F377" s="11" t="s">
        <v>27</v>
      </c>
      <c r="G377" s="13" t="s">
        <v>945</v>
      </c>
    </row>
    <row r="378" spans="1:7" ht="16" x14ac:dyDescent="0.2">
      <c r="A378" s="11" t="s">
        <v>946</v>
      </c>
      <c r="B378" s="12">
        <v>3</v>
      </c>
      <c r="C378" s="11" t="s">
        <v>941</v>
      </c>
      <c r="D378" s="13" t="s">
        <v>884</v>
      </c>
      <c r="E378" s="13" t="s">
        <v>942</v>
      </c>
      <c r="F378" s="11" t="s">
        <v>30</v>
      </c>
      <c r="G378" s="13" t="s">
        <v>947</v>
      </c>
    </row>
    <row r="379" spans="1:7" ht="16" x14ac:dyDescent="0.2">
      <c r="A379" s="11" t="s">
        <v>948</v>
      </c>
      <c r="B379" s="12">
        <v>1</v>
      </c>
      <c r="C379" s="11" t="s">
        <v>941</v>
      </c>
      <c r="D379" s="13" t="s">
        <v>884</v>
      </c>
      <c r="E379" s="13" t="s">
        <v>942</v>
      </c>
      <c r="F379" s="11" t="s">
        <v>33</v>
      </c>
      <c r="G379" s="13" t="s">
        <v>949</v>
      </c>
    </row>
    <row r="380" spans="1:7" ht="16" x14ac:dyDescent="0.2">
      <c r="A380" s="14" t="s">
        <v>950</v>
      </c>
      <c r="B380" s="15">
        <v>7</v>
      </c>
      <c r="C380" s="14" t="s">
        <v>951</v>
      </c>
      <c r="D380" s="16" t="s">
        <v>884</v>
      </c>
      <c r="E380" s="16" t="s">
        <v>952</v>
      </c>
      <c r="F380" s="14" t="s">
        <v>24</v>
      </c>
      <c r="G380" s="16" t="s">
        <v>953</v>
      </c>
    </row>
    <row r="381" spans="1:7" ht="16" x14ac:dyDescent="0.2">
      <c r="A381" s="14" t="s">
        <v>954</v>
      </c>
      <c r="B381" s="15">
        <v>5</v>
      </c>
      <c r="C381" s="14" t="s">
        <v>951</v>
      </c>
      <c r="D381" s="16" t="s">
        <v>884</v>
      </c>
      <c r="E381" s="16" t="s">
        <v>952</v>
      </c>
      <c r="F381" s="14" t="s">
        <v>27</v>
      </c>
      <c r="G381" s="16" t="s">
        <v>955</v>
      </c>
    </row>
    <row r="382" spans="1:7" ht="16" x14ac:dyDescent="0.2">
      <c r="A382" s="14" t="s">
        <v>956</v>
      </c>
      <c r="B382" s="15">
        <v>3</v>
      </c>
      <c r="C382" s="14" t="s">
        <v>951</v>
      </c>
      <c r="D382" s="16" t="s">
        <v>884</v>
      </c>
      <c r="E382" s="16" t="s">
        <v>952</v>
      </c>
      <c r="F382" s="14" t="s">
        <v>30</v>
      </c>
      <c r="G382" s="16" t="s">
        <v>957</v>
      </c>
    </row>
    <row r="383" spans="1:7" ht="16" x14ac:dyDescent="0.2">
      <c r="A383" s="14" t="s">
        <v>958</v>
      </c>
      <c r="B383" s="15">
        <v>1</v>
      </c>
      <c r="C383" s="14" t="s">
        <v>951</v>
      </c>
      <c r="D383" s="16" t="s">
        <v>884</v>
      </c>
      <c r="E383" s="16" t="s">
        <v>952</v>
      </c>
      <c r="F383" s="14" t="s">
        <v>33</v>
      </c>
      <c r="G383" s="16" t="s">
        <v>959</v>
      </c>
    </row>
    <row r="384" spans="1:7" ht="16" x14ac:dyDescent="0.2">
      <c r="A384" s="11" t="s">
        <v>960</v>
      </c>
      <c r="B384" s="12">
        <v>8</v>
      </c>
      <c r="C384" s="11" t="s">
        <v>961</v>
      </c>
      <c r="D384" s="13" t="s">
        <v>884</v>
      </c>
      <c r="E384" s="13" t="s">
        <v>962</v>
      </c>
      <c r="F384" s="11" t="s">
        <v>24</v>
      </c>
      <c r="G384" s="13" t="s">
        <v>963</v>
      </c>
    </row>
    <row r="385" spans="1:7" ht="16" x14ac:dyDescent="0.2">
      <c r="A385" s="11" t="s">
        <v>964</v>
      </c>
      <c r="B385" s="12">
        <v>5</v>
      </c>
      <c r="C385" s="11" t="s">
        <v>961</v>
      </c>
      <c r="D385" s="13" t="s">
        <v>884</v>
      </c>
      <c r="E385" s="13" t="s">
        <v>962</v>
      </c>
      <c r="F385" s="11" t="s">
        <v>27</v>
      </c>
      <c r="G385" s="13" t="s">
        <v>965</v>
      </c>
    </row>
    <row r="386" spans="1:7" ht="16" x14ac:dyDescent="0.2">
      <c r="A386" s="11" t="s">
        <v>966</v>
      </c>
      <c r="B386" s="12">
        <v>4</v>
      </c>
      <c r="C386" s="11" t="s">
        <v>961</v>
      </c>
      <c r="D386" s="13" t="s">
        <v>884</v>
      </c>
      <c r="E386" s="13" t="s">
        <v>962</v>
      </c>
      <c r="F386" s="11" t="s">
        <v>30</v>
      </c>
      <c r="G386" s="13" t="s">
        <v>967</v>
      </c>
    </row>
    <row r="387" spans="1:7" ht="16" x14ac:dyDescent="0.2">
      <c r="A387" s="11" t="s">
        <v>968</v>
      </c>
      <c r="B387" s="12">
        <v>2</v>
      </c>
      <c r="C387" s="11" t="s">
        <v>961</v>
      </c>
      <c r="D387" s="13" t="s">
        <v>884</v>
      </c>
      <c r="E387" s="13" t="s">
        <v>962</v>
      </c>
      <c r="F387" s="11" t="s">
        <v>33</v>
      </c>
      <c r="G387" s="13" t="s">
        <v>969</v>
      </c>
    </row>
    <row r="388" spans="1:7" ht="16" x14ac:dyDescent="0.2">
      <c r="A388" s="14" t="s">
        <v>970</v>
      </c>
      <c r="B388" s="15">
        <v>8</v>
      </c>
      <c r="C388" s="14" t="s">
        <v>971</v>
      </c>
      <c r="D388" s="16" t="s">
        <v>884</v>
      </c>
      <c r="E388" s="16" t="s">
        <v>972</v>
      </c>
      <c r="F388" s="14" t="s">
        <v>24</v>
      </c>
      <c r="G388" s="16" t="s">
        <v>973</v>
      </c>
    </row>
    <row r="389" spans="1:7" ht="16" x14ac:dyDescent="0.2">
      <c r="A389" s="14" t="s">
        <v>974</v>
      </c>
      <c r="B389" s="15">
        <v>6</v>
      </c>
      <c r="C389" s="14" t="s">
        <v>971</v>
      </c>
      <c r="D389" s="16" t="s">
        <v>884</v>
      </c>
      <c r="E389" s="16" t="s">
        <v>972</v>
      </c>
      <c r="F389" s="14" t="s">
        <v>27</v>
      </c>
      <c r="G389" s="16" t="s">
        <v>975</v>
      </c>
    </row>
    <row r="390" spans="1:7" ht="16" x14ac:dyDescent="0.2">
      <c r="A390" s="14" t="s">
        <v>976</v>
      </c>
      <c r="B390" s="15">
        <v>4</v>
      </c>
      <c r="C390" s="14" t="s">
        <v>971</v>
      </c>
      <c r="D390" s="16" t="s">
        <v>884</v>
      </c>
      <c r="E390" s="16" t="s">
        <v>972</v>
      </c>
      <c r="F390" s="14" t="s">
        <v>30</v>
      </c>
      <c r="G390" s="16" t="s">
        <v>977</v>
      </c>
    </row>
    <row r="391" spans="1:7" ht="16" x14ac:dyDescent="0.2">
      <c r="A391" s="14" t="s">
        <v>978</v>
      </c>
      <c r="B391" s="15">
        <v>2</v>
      </c>
      <c r="C391" s="14" t="s">
        <v>971</v>
      </c>
      <c r="D391" s="16" t="s">
        <v>884</v>
      </c>
      <c r="E391" s="16" t="s">
        <v>972</v>
      </c>
      <c r="F391" s="14" t="s">
        <v>33</v>
      </c>
      <c r="G391" s="16" t="s">
        <v>979</v>
      </c>
    </row>
    <row r="392" spans="1:7" ht="16" x14ac:dyDescent="0.2">
      <c r="A392" s="11" t="s">
        <v>980</v>
      </c>
      <c r="B392" s="12">
        <v>7</v>
      </c>
      <c r="C392" s="11" t="s">
        <v>981</v>
      </c>
      <c r="D392" s="13" t="s">
        <v>982</v>
      </c>
      <c r="E392" s="13" t="s">
        <v>983</v>
      </c>
      <c r="F392" s="11" t="s">
        <v>24</v>
      </c>
      <c r="G392" s="13" t="s">
        <v>984</v>
      </c>
    </row>
    <row r="393" spans="1:7" ht="16" x14ac:dyDescent="0.2">
      <c r="A393" s="11" t="s">
        <v>985</v>
      </c>
      <c r="B393" s="12">
        <v>5</v>
      </c>
      <c r="C393" s="11" t="s">
        <v>981</v>
      </c>
      <c r="D393" s="13" t="s">
        <v>982</v>
      </c>
      <c r="E393" s="13" t="s">
        <v>983</v>
      </c>
      <c r="F393" s="11" t="s">
        <v>27</v>
      </c>
      <c r="G393" s="13" t="s">
        <v>986</v>
      </c>
    </row>
    <row r="394" spans="1:7" ht="16" x14ac:dyDescent="0.2">
      <c r="A394" s="11" t="s">
        <v>987</v>
      </c>
      <c r="B394" s="12">
        <v>4</v>
      </c>
      <c r="C394" s="11" t="s">
        <v>981</v>
      </c>
      <c r="D394" s="13" t="s">
        <v>982</v>
      </c>
      <c r="E394" s="13" t="s">
        <v>983</v>
      </c>
      <c r="F394" s="11" t="s">
        <v>30</v>
      </c>
      <c r="G394" s="13" t="s">
        <v>988</v>
      </c>
    </row>
    <row r="395" spans="1:7" ht="16" x14ac:dyDescent="0.2">
      <c r="A395" s="11" t="s">
        <v>989</v>
      </c>
      <c r="B395" s="12">
        <v>3</v>
      </c>
      <c r="C395" s="11" t="s">
        <v>981</v>
      </c>
      <c r="D395" s="13" t="s">
        <v>982</v>
      </c>
      <c r="E395" s="13" t="s">
        <v>983</v>
      </c>
      <c r="F395" s="11" t="s">
        <v>33</v>
      </c>
      <c r="G395" s="13" t="s">
        <v>990</v>
      </c>
    </row>
    <row r="396" spans="1:7" ht="16" x14ac:dyDescent="0.2">
      <c r="A396" s="14" t="s">
        <v>991</v>
      </c>
      <c r="B396" s="15">
        <v>9</v>
      </c>
      <c r="C396" s="14" t="s">
        <v>992</v>
      </c>
      <c r="D396" s="16" t="s">
        <v>982</v>
      </c>
      <c r="E396" s="16" t="s">
        <v>993</v>
      </c>
      <c r="F396" s="14" t="s">
        <v>24</v>
      </c>
      <c r="G396" s="16" t="s">
        <v>994</v>
      </c>
    </row>
    <row r="397" spans="1:7" ht="16" x14ac:dyDescent="0.2">
      <c r="A397" s="14" t="s">
        <v>995</v>
      </c>
      <c r="B397" s="15">
        <v>7</v>
      </c>
      <c r="C397" s="14" t="s">
        <v>992</v>
      </c>
      <c r="D397" s="16" t="s">
        <v>982</v>
      </c>
      <c r="E397" s="16" t="s">
        <v>993</v>
      </c>
      <c r="F397" s="14" t="s">
        <v>27</v>
      </c>
      <c r="G397" s="16" t="s">
        <v>996</v>
      </c>
    </row>
    <row r="398" spans="1:7" ht="16" x14ac:dyDescent="0.2">
      <c r="A398" s="14" t="s">
        <v>997</v>
      </c>
      <c r="B398" s="15">
        <v>4</v>
      </c>
      <c r="C398" s="14" t="s">
        <v>992</v>
      </c>
      <c r="D398" s="16" t="s">
        <v>982</v>
      </c>
      <c r="E398" s="16" t="s">
        <v>993</v>
      </c>
      <c r="F398" s="14" t="s">
        <v>30</v>
      </c>
      <c r="G398" s="16" t="s">
        <v>998</v>
      </c>
    </row>
    <row r="399" spans="1:7" ht="16" x14ac:dyDescent="0.2">
      <c r="A399" s="14" t="s">
        <v>999</v>
      </c>
      <c r="B399" s="15">
        <v>3</v>
      </c>
      <c r="C399" s="14" t="s">
        <v>992</v>
      </c>
      <c r="D399" s="16" t="s">
        <v>982</v>
      </c>
      <c r="E399" s="16" t="s">
        <v>993</v>
      </c>
      <c r="F399" s="14" t="s">
        <v>33</v>
      </c>
      <c r="G399" s="16" t="s">
        <v>1000</v>
      </c>
    </row>
    <row r="400" spans="1:7" ht="16" x14ac:dyDescent="0.2">
      <c r="A400" s="14" t="s">
        <v>1001</v>
      </c>
      <c r="B400" s="15">
        <v>2</v>
      </c>
      <c r="C400" s="14" t="s">
        <v>992</v>
      </c>
      <c r="D400" s="16" t="s">
        <v>982</v>
      </c>
      <c r="E400" s="16" t="s">
        <v>993</v>
      </c>
      <c r="F400" s="14" t="s">
        <v>36</v>
      </c>
      <c r="G400" s="16" t="s">
        <v>1002</v>
      </c>
    </row>
    <row r="401" spans="1:7" ht="16" x14ac:dyDescent="0.2">
      <c r="A401" s="11" t="s">
        <v>1003</v>
      </c>
      <c r="B401" s="12">
        <v>9</v>
      </c>
      <c r="C401" s="11" t="s">
        <v>1004</v>
      </c>
      <c r="D401" s="13" t="s">
        <v>982</v>
      </c>
      <c r="E401" s="13" t="s">
        <v>1005</v>
      </c>
      <c r="F401" s="11" t="s">
        <v>24</v>
      </c>
      <c r="G401" s="13" t="s">
        <v>1006</v>
      </c>
    </row>
    <row r="402" spans="1:7" ht="16" x14ac:dyDescent="0.2">
      <c r="A402" s="11" t="s">
        <v>1007</v>
      </c>
      <c r="B402" s="12">
        <v>6</v>
      </c>
      <c r="C402" s="11" t="s">
        <v>1004</v>
      </c>
      <c r="D402" s="13" t="s">
        <v>982</v>
      </c>
      <c r="E402" s="13" t="s">
        <v>1005</v>
      </c>
      <c r="F402" s="11" t="s">
        <v>27</v>
      </c>
      <c r="G402" s="13" t="s">
        <v>1008</v>
      </c>
    </row>
    <row r="403" spans="1:7" ht="16" x14ac:dyDescent="0.2">
      <c r="A403" s="11" t="s">
        <v>1009</v>
      </c>
      <c r="B403" s="12">
        <v>4</v>
      </c>
      <c r="C403" s="11" t="s">
        <v>1004</v>
      </c>
      <c r="D403" s="13" t="s">
        <v>982</v>
      </c>
      <c r="E403" s="13" t="s">
        <v>1005</v>
      </c>
      <c r="F403" s="11" t="s">
        <v>30</v>
      </c>
      <c r="G403" s="13" t="s">
        <v>1010</v>
      </c>
    </row>
    <row r="404" spans="1:7" ht="16" x14ac:dyDescent="0.2">
      <c r="A404" s="11" t="s">
        <v>1011</v>
      </c>
      <c r="B404" s="12">
        <v>3</v>
      </c>
      <c r="C404" s="11" t="s">
        <v>1004</v>
      </c>
      <c r="D404" s="13" t="s">
        <v>982</v>
      </c>
      <c r="E404" s="13" t="s">
        <v>1005</v>
      </c>
      <c r="F404" s="11" t="s">
        <v>33</v>
      </c>
      <c r="G404" s="13" t="s">
        <v>1012</v>
      </c>
    </row>
    <row r="405" spans="1:7" ht="16" x14ac:dyDescent="0.2">
      <c r="A405" s="14" t="s">
        <v>1013</v>
      </c>
      <c r="B405" s="15">
        <v>3</v>
      </c>
      <c r="C405" s="14" t="s">
        <v>1014</v>
      </c>
      <c r="D405" s="16" t="s">
        <v>982</v>
      </c>
      <c r="E405" s="16" t="s">
        <v>1015</v>
      </c>
      <c r="F405" s="14" t="s">
        <v>24</v>
      </c>
      <c r="G405" s="16" t="s">
        <v>1016</v>
      </c>
    </row>
    <row r="406" spans="1:7" ht="16" x14ac:dyDescent="0.2">
      <c r="A406" s="14" t="s">
        <v>1017</v>
      </c>
      <c r="B406" s="15">
        <v>3</v>
      </c>
      <c r="C406" s="14" t="s">
        <v>1014</v>
      </c>
      <c r="D406" s="16" t="s">
        <v>982</v>
      </c>
      <c r="E406" s="16" t="s">
        <v>1015</v>
      </c>
      <c r="F406" s="14" t="s">
        <v>27</v>
      </c>
      <c r="G406" s="16" t="s">
        <v>1018</v>
      </c>
    </row>
    <row r="407" spans="1:7" ht="16" x14ac:dyDescent="0.2">
      <c r="A407" s="14" t="s">
        <v>1019</v>
      </c>
      <c r="B407" s="15">
        <v>5</v>
      </c>
      <c r="C407" s="14" t="s">
        <v>1014</v>
      </c>
      <c r="D407" s="16" t="s">
        <v>982</v>
      </c>
      <c r="E407" s="16" t="s">
        <v>1015</v>
      </c>
      <c r="F407" s="14" t="s">
        <v>30</v>
      </c>
      <c r="G407" s="16" t="s">
        <v>1020</v>
      </c>
    </row>
    <row r="408" spans="1:7" ht="16" x14ac:dyDescent="0.2">
      <c r="A408" s="14" t="s">
        <v>1021</v>
      </c>
      <c r="B408" s="15">
        <v>7</v>
      </c>
      <c r="C408" s="14" t="s">
        <v>1014</v>
      </c>
      <c r="D408" s="16" t="s">
        <v>982</v>
      </c>
      <c r="E408" s="16" t="s">
        <v>1015</v>
      </c>
      <c r="F408" s="14" t="s">
        <v>33</v>
      </c>
      <c r="G408" s="16" t="s">
        <v>1022</v>
      </c>
    </row>
    <row r="409" spans="1:7" ht="16" x14ac:dyDescent="0.2">
      <c r="A409" s="14" t="s">
        <v>1023</v>
      </c>
      <c r="B409" s="15">
        <v>8</v>
      </c>
      <c r="C409" s="14" t="s">
        <v>1014</v>
      </c>
      <c r="D409" s="16" t="s">
        <v>982</v>
      </c>
      <c r="E409" s="16" t="s">
        <v>1015</v>
      </c>
      <c r="F409" s="14" t="s">
        <v>36</v>
      </c>
      <c r="G409" s="16" t="s">
        <v>1024</v>
      </c>
    </row>
    <row r="410" spans="1:7" ht="16" x14ac:dyDescent="0.2">
      <c r="A410" s="11" t="s">
        <v>1025</v>
      </c>
      <c r="B410" s="12">
        <v>7</v>
      </c>
      <c r="C410" s="11" t="s">
        <v>1026</v>
      </c>
      <c r="D410" s="13" t="s">
        <v>982</v>
      </c>
      <c r="E410" s="13" t="s">
        <v>1027</v>
      </c>
      <c r="F410" s="11" t="s">
        <v>24</v>
      </c>
      <c r="G410" s="13" t="s">
        <v>1028</v>
      </c>
    </row>
    <row r="411" spans="1:7" ht="16" x14ac:dyDescent="0.2">
      <c r="A411" s="11" t="s">
        <v>1029</v>
      </c>
      <c r="B411" s="12">
        <v>5</v>
      </c>
      <c r="C411" s="11" t="s">
        <v>1026</v>
      </c>
      <c r="D411" s="13" t="s">
        <v>982</v>
      </c>
      <c r="E411" s="13" t="s">
        <v>1027</v>
      </c>
      <c r="F411" s="11" t="s">
        <v>27</v>
      </c>
      <c r="G411" s="13" t="s">
        <v>1030</v>
      </c>
    </row>
    <row r="412" spans="1:7" ht="16" x14ac:dyDescent="0.2">
      <c r="A412" s="11" t="s">
        <v>1031</v>
      </c>
      <c r="B412" s="12">
        <v>4</v>
      </c>
      <c r="C412" s="11" t="s">
        <v>1026</v>
      </c>
      <c r="D412" s="13" t="s">
        <v>982</v>
      </c>
      <c r="E412" s="13" t="s">
        <v>1027</v>
      </c>
      <c r="F412" s="11" t="s">
        <v>30</v>
      </c>
      <c r="G412" s="13" t="s">
        <v>1032</v>
      </c>
    </row>
    <row r="413" spans="1:7" ht="16" x14ac:dyDescent="0.2">
      <c r="A413" s="11" t="s">
        <v>1033</v>
      </c>
      <c r="B413" s="12">
        <v>3</v>
      </c>
      <c r="C413" s="11" t="s">
        <v>1026</v>
      </c>
      <c r="D413" s="13" t="s">
        <v>982</v>
      </c>
      <c r="E413" s="13" t="s">
        <v>1027</v>
      </c>
      <c r="F413" s="11" t="s">
        <v>33</v>
      </c>
      <c r="G413" s="13" t="s">
        <v>1034</v>
      </c>
    </row>
    <row r="414" spans="1:7" ht="16" x14ac:dyDescent="0.2">
      <c r="A414" s="14" t="s">
        <v>1035</v>
      </c>
      <c r="B414" s="15">
        <v>8</v>
      </c>
      <c r="C414" s="14" t="s">
        <v>1036</v>
      </c>
      <c r="D414" s="16" t="s">
        <v>982</v>
      </c>
      <c r="E414" s="16" t="s">
        <v>1037</v>
      </c>
      <c r="F414" s="14" t="s">
        <v>24</v>
      </c>
      <c r="G414" s="16" t="s">
        <v>1038</v>
      </c>
    </row>
    <row r="415" spans="1:7" ht="16" x14ac:dyDescent="0.2">
      <c r="A415" s="14" t="s">
        <v>1039</v>
      </c>
      <c r="B415" s="15">
        <v>6</v>
      </c>
      <c r="C415" s="14" t="s">
        <v>1036</v>
      </c>
      <c r="D415" s="16" t="s">
        <v>982</v>
      </c>
      <c r="E415" s="16" t="s">
        <v>1037</v>
      </c>
      <c r="F415" s="14" t="s">
        <v>27</v>
      </c>
      <c r="G415" s="16" t="s">
        <v>1040</v>
      </c>
    </row>
    <row r="416" spans="1:7" ht="16" x14ac:dyDescent="0.2">
      <c r="A416" s="14" t="s">
        <v>1041</v>
      </c>
      <c r="B416" s="15">
        <v>4</v>
      </c>
      <c r="C416" s="14" t="s">
        <v>1036</v>
      </c>
      <c r="D416" s="16" t="s">
        <v>982</v>
      </c>
      <c r="E416" s="16" t="s">
        <v>1037</v>
      </c>
      <c r="F416" s="14" t="s">
        <v>30</v>
      </c>
      <c r="G416" s="16" t="s">
        <v>1042</v>
      </c>
    </row>
    <row r="417" spans="1:7" ht="16" x14ac:dyDescent="0.2">
      <c r="A417" s="14" t="s">
        <v>1043</v>
      </c>
      <c r="B417" s="15">
        <v>3</v>
      </c>
      <c r="C417" s="14" t="s">
        <v>1036</v>
      </c>
      <c r="D417" s="16" t="s">
        <v>982</v>
      </c>
      <c r="E417" s="16" t="s">
        <v>1037</v>
      </c>
      <c r="F417" s="14" t="s">
        <v>33</v>
      </c>
      <c r="G417" s="16" t="s">
        <v>1044</v>
      </c>
    </row>
    <row r="418" spans="1:7" ht="32" x14ac:dyDescent="0.2">
      <c r="A418" s="11" t="s">
        <v>1045</v>
      </c>
      <c r="B418" s="12">
        <v>8</v>
      </c>
      <c r="C418" s="11" t="s">
        <v>1046</v>
      </c>
      <c r="D418" s="13" t="s">
        <v>982</v>
      </c>
      <c r="E418" s="13" t="s">
        <v>1047</v>
      </c>
      <c r="F418" s="11" t="s">
        <v>24</v>
      </c>
      <c r="G418" s="13" t="s">
        <v>1048</v>
      </c>
    </row>
    <row r="419" spans="1:7" ht="32" x14ac:dyDescent="0.2">
      <c r="A419" s="11" t="s">
        <v>1049</v>
      </c>
      <c r="B419" s="12">
        <v>6</v>
      </c>
      <c r="C419" s="11" t="s">
        <v>1046</v>
      </c>
      <c r="D419" s="13" t="s">
        <v>982</v>
      </c>
      <c r="E419" s="13" t="s">
        <v>1047</v>
      </c>
      <c r="F419" s="11" t="s">
        <v>27</v>
      </c>
      <c r="G419" s="13" t="s">
        <v>1050</v>
      </c>
    </row>
    <row r="420" spans="1:7" ht="32" x14ac:dyDescent="0.2">
      <c r="A420" s="11" t="s">
        <v>1051</v>
      </c>
      <c r="B420" s="12">
        <v>5</v>
      </c>
      <c r="C420" s="11" t="s">
        <v>1046</v>
      </c>
      <c r="D420" s="13" t="s">
        <v>982</v>
      </c>
      <c r="E420" s="13" t="s">
        <v>1047</v>
      </c>
      <c r="F420" s="11" t="s">
        <v>30</v>
      </c>
      <c r="G420" s="13" t="s">
        <v>1052</v>
      </c>
    </row>
    <row r="421" spans="1:7" ht="32" x14ac:dyDescent="0.2">
      <c r="A421" s="11" t="s">
        <v>1053</v>
      </c>
      <c r="B421" s="12">
        <v>4</v>
      </c>
      <c r="C421" s="11" t="s">
        <v>1046</v>
      </c>
      <c r="D421" s="13" t="s">
        <v>982</v>
      </c>
      <c r="E421" s="13" t="s">
        <v>1047</v>
      </c>
      <c r="F421" s="11" t="s">
        <v>33</v>
      </c>
      <c r="G421" s="13" t="s">
        <v>1054</v>
      </c>
    </row>
    <row r="422" spans="1:7" ht="16" x14ac:dyDescent="0.2">
      <c r="A422" s="14" t="s">
        <v>1055</v>
      </c>
      <c r="B422" s="15">
        <v>6</v>
      </c>
      <c r="C422" s="14" t="s">
        <v>1056</v>
      </c>
      <c r="D422" s="16" t="s">
        <v>982</v>
      </c>
      <c r="E422" s="16" t="s">
        <v>1057</v>
      </c>
      <c r="F422" s="14" t="s">
        <v>24</v>
      </c>
      <c r="G422" s="16" t="s">
        <v>1058</v>
      </c>
    </row>
    <row r="423" spans="1:7" ht="16" x14ac:dyDescent="0.2">
      <c r="A423" s="14" t="s">
        <v>1059</v>
      </c>
      <c r="B423" s="15">
        <v>5</v>
      </c>
      <c r="C423" s="14" t="s">
        <v>1056</v>
      </c>
      <c r="D423" s="16" t="s">
        <v>982</v>
      </c>
      <c r="E423" s="16" t="s">
        <v>1057</v>
      </c>
      <c r="F423" s="14" t="s">
        <v>27</v>
      </c>
      <c r="G423" s="16" t="s">
        <v>1060</v>
      </c>
    </row>
    <row r="424" spans="1:7" ht="16" x14ac:dyDescent="0.2">
      <c r="A424" s="14" t="s">
        <v>1061</v>
      </c>
      <c r="B424" s="15">
        <v>4</v>
      </c>
      <c r="C424" s="14" t="s">
        <v>1056</v>
      </c>
      <c r="D424" s="16" t="s">
        <v>982</v>
      </c>
      <c r="E424" s="16" t="s">
        <v>1057</v>
      </c>
      <c r="F424" s="14" t="s">
        <v>30</v>
      </c>
      <c r="G424" s="16" t="s">
        <v>1062</v>
      </c>
    </row>
    <row r="425" spans="1:7" ht="16" x14ac:dyDescent="0.2">
      <c r="A425" s="14" t="s">
        <v>1063</v>
      </c>
      <c r="B425" s="15">
        <v>3</v>
      </c>
      <c r="C425" s="14" t="s">
        <v>1056</v>
      </c>
      <c r="D425" s="16" t="s">
        <v>982</v>
      </c>
      <c r="E425" s="16" t="s">
        <v>1057</v>
      </c>
      <c r="F425" s="14" t="s">
        <v>33</v>
      </c>
      <c r="G425" s="16" t="s">
        <v>1064</v>
      </c>
    </row>
    <row r="426" spans="1:7" ht="16" x14ac:dyDescent="0.2">
      <c r="A426" s="11" t="s">
        <v>1065</v>
      </c>
      <c r="B426" s="12">
        <v>6</v>
      </c>
      <c r="C426" s="11" t="s">
        <v>1066</v>
      </c>
      <c r="D426" s="13" t="s">
        <v>982</v>
      </c>
      <c r="E426" s="13" t="s">
        <v>1067</v>
      </c>
      <c r="F426" s="11" t="s">
        <v>24</v>
      </c>
      <c r="G426" s="13" t="s">
        <v>696</v>
      </c>
    </row>
    <row r="427" spans="1:7" ht="16" x14ac:dyDescent="0.2">
      <c r="A427" s="11" t="s">
        <v>1068</v>
      </c>
      <c r="B427" s="12">
        <v>4</v>
      </c>
      <c r="C427" s="11" t="s">
        <v>1066</v>
      </c>
      <c r="D427" s="13" t="s">
        <v>982</v>
      </c>
      <c r="E427" s="13" t="s">
        <v>1067</v>
      </c>
      <c r="F427" s="11" t="s">
        <v>27</v>
      </c>
      <c r="G427" s="13" t="s">
        <v>1069</v>
      </c>
    </row>
    <row r="428" spans="1:7" ht="16" x14ac:dyDescent="0.2">
      <c r="A428" s="11" t="s">
        <v>1070</v>
      </c>
      <c r="B428" s="12">
        <v>3</v>
      </c>
      <c r="C428" s="11" t="s">
        <v>1066</v>
      </c>
      <c r="D428" s="13" t="s">
        <v>982</v>
      </c>
      <c r="E428" s="13" t="s">
        <v>1067</v>
      </c>
      <c r="F428" s="11" t="s">
        <v>30</v>
      </c>
      <c r="G428" s="13" t="s">
        <v>1071</v>
      </c>
    </row>
    <row r="429" spans="1:7" ht="16" x14ac:dyDescent="0.2">
      <c r="A429" s="11" t="s">
        <v>1072</v>
      </c>
      <c r="B429" s="12">
        <v>2</v>
      </c>
      <c r="C429" s="11" t="s">
        <v>1066</v>
      </c>
      <c r="D429" s="13" t="s">
        <v>982</v>
      </c>
      <c r="E429" s="13" t="s">
        <v>1067</v>
      </c>
      <c r="F429" s="11" t="s">
        <v>33</v>
      </c>
      <c r="G429" s="13" t="s">
        <v>1073</v>
      </c>
    </row>
    <row r="430" spans="1:7" ht="16" x14ac:dyDescent="0.2">
      <c r="A430" s="14" t="s">
        <v>1074</v>
      </c>
      <c r="B430" s="15">
        <v>7</v>
      </c>
      <c r="C430" s="14" t="s">
        <v>1075</v>
      </c>
      <c r="D430" s="16" t="s">
        <v>982</v>
      </c>
      <c r="E430" s="16" t="s">
        <v>1076</v>
      </c>
      <c r="F430" s="14" t="s">
        <v>24</v>
      </c>
      <c r="G430" s="16" t="s">
        <v>1077</v>
      </c>
    </row>
    <row r="431" spans="1:7" ht="16" x14ac:dyDescent="0.2">
      <c r="A431" s="14" t="s">
        <v>1078</v>
      </c>
      <c r="B431" s="15">
        <v>6</v>
      </c>
      <c r="C431" s="14" t="s">
        <v>1075</v>
      </c>
      <c r="D431" s="16" t="s">
        <v>982</v>
      </c>
      <c r="E431" s="16" t="s">
        <v>1076</v>
      </c>
      <c r="F431" s="14" t="s">
        <v>27</v>
      </c>
      <c r="G431" s="16" t="s">
        <v>1079</v>
      </c>
    </row>
    <row r="432" spans="1:7" ht="16" x14ac:dyDescent="0.2">
      <c r="A432" s="14" t="s">
        <v>1080</v>
      </c>
      <c r="B432" s="15">
        <v>4</v>
      </c>
      <c r="C432" s="14" t="s">
        <v>1075</v>
      </c>
      <c r="D432" s="16" t="s">
        <v>982</v>
      </c>
      <c r="E432" s="16" t="s">
        <v>1076</v>
      </c>
      <c r="F432" s="14" t="s">
        <v>30</v>
      </c>
      <c r="G432" s="16" t="s">
        <v>1081</v>
      </c>
    </row>
    <row r="433" spans="1:7" ht="16" x14ac:dyDescent="0.2">
      <c r="A433" s="14" t="s">
        <v>1082</v>
      </c>
      <c r="B433" s="15">
        <v>3</v>
      </c>
      <c r="C433" s="14" t="s">
        <v>1075</v>
      </c>
      <c r="D433" s="16" t="s">
        <v>982</v>
      </c>
      <c r="E433" s="16" t="s">
        <v>1076</v>
      </c>
      <c r="F433" s="14" t="s">
        <v>33</v>
      </c>
      <c r="G433" s="16" t="s">
        <v>1083</v>
      </c>
    </row>
  </sheetData>
  <autoFilter ref="A4:G433" xr:uid="{00000000-0009-0000-0000-000001000000}"/>
  <mergeCells count="2">
    <mergeCell ref="A2:G2"/>
    <mergeCell ref="A1:G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37"/>
  <sheetViews>
    <sheetView workbookViewId="0">
      <selection sqref="A1:L1"/>
    </sheetView>
  </sheetViews>
  <sheetFormatPr baseColWidth="10" defaultColWidth="8.83203125" defaultRowHeight="15" x14ac:dyDescent="0.2"/>
  <cols>
    <col min="1" max="1" width="5" customWidth="1"/>
    <col min="2" max="2" width="36" customWidth="1"/>
    <col min="3" max="3" width="12" customWidth="1"/>
    <col min="4" max="4" width="60" customWidth="1"/>
    <col min="5" max="5" width="8" customWidth="1"/>
    <col min="6" max="6" width="10" customWidth="1"/>
    <col min="7" max="8" width="8" customWidth="1"/>
    <col min="9" max="11" width="13" customWidth="1"/>
    <col min="12" max="12" width="10" customWidth="1"/>
  </cols>
  <sheetData>
    <row r="1" spans="1:12" ht="28" customHeight="1" x14ac:dyDescent="0.2">
      <c r="A1" s="155" t="s">
        <v>1084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</row>
    <row r="3" spans="1:12" ht="16" x14ac:dyDescent="0.2">
      <c r="A3" s="156" t="s">
        <v>1085</v>
      </c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</row>
    <row r="4" spans="1:12" ht="16" x14ac:dyDescent="0.2">
      <c r="A4" s="17" t="s">
        <v>5</v>
      </c>
      <c r="B4" s="17" t="s">
        <v>7</v>
      </c>
      <c r="C4" s="17" t="s">
        <v>1086</v>
      </c>
      <c r="D4" s="158" t="s">
        <v>1087</v>
      </c>
      <c r="E4" s="159"/>
      <c r="F4" s="159"/>
      <c r="G4" s="159"/>
      <c r="H4" s="159"/>
      <c r="I4" s="159"/>
      <c r="J4" s="159"/>
      <c r="K4" s="159"/>
      <c r="L4" s="160"/>
    </row>
    <row r="5" spans="1:12" x14ac:dyDescent="0.2">
      <c r="A5" s="4">
        <v>1</v>
      </c>
      <c r="B5" s="18" t="s">
        <v>22</v>
      </c>
      <c r="C5" s="19">
        <v>1</v>
      </c>
      <c r="D5" s="157" t="s">
        <v>1088</v>
      </c>
      <c r="E5" s="141"/>
      <c r="F5" s="141"/>
      <c r="G5" s="141"/>
      <c r="H5" s="141"/>
      <c r="I5" s="141"/>
      <c r="J5" s="141"/>
      <c r="K5" s="141"/>
      <c r="L5" s="141"/>
    </row>
    <row r="6" spans="1:12" x14ac:dyDescent="0.2">
      <c r="A6" s="4">
        <v>2</v>
      </c>
      <c r="B6" s="18" t="s">
        <v>138</v>
      </c>
      <c r="C6" s="19">
        <v>0.4</v>
      </c>
      <c r="D6" s="157" t="s">
        <v>1089</v>
      </c>
      <c r="E6" s="141"/>
      <c r="F6" s="141"/>
      <c r="G6" s="141"/>
      <c r="H6" s="141"/>
      <c r="I6" s="141"/>
      <c r="J6" s="141"/>
      <c r="K6" s="141"/>
      <c r="L6" s="141"/>
    </row>
    <row r="7" spans="1:12" x14ac:dyDescent="0.2">
      <c r="A7" s="4">
        <v>3</v>
      </c>
      <c r="B7" s="18" t="s">
        <v>253</v>
      </c>
      <c r="C7" s="19">
        <v>0.7</v>
      </c>
      <c r="D7" s="157" t="s">
        <v>1090</v>
      </c>
      <c r="E7" s="141"/>
      <c r="F7" s="141"/>
      <c r="G7" s="141"/>
      <c r="H7" s="141"/>
      <c r="I7" s="141"/>
      <c r="J7" s="141"/>
      <c r="K7" s="141"/>
      <c r="L7" s="141"/>
    </row>
    <row r="8" spans="1:12" x14ac:dyDescent="0.2">
      <c r="A8" s="4">
        <v>4</v>
      </c>
      <c r="B8" s="18" t="s">
        <v>360</v>
      </c>
      <c r="C8" s="19">
        <v>0.7</v>
      </c>
      <c r="D8" s="157" t="s">
        <v>1090</v>
      </c>
      <c r="E8" s="141"/>
      <c r="F8" s="141"/>
      <c r="G8" s="141"/>
      <c r="H8" s="141"/>
      <c r="I8" s="141"/>
      <c r="J8" s="141"/>
      <c r="K8" s="141"/>
      <c r="L8" s="141"/>
    </row>
    <row r="9" spans="1:12" x14ac:dyDescent="0.2">
      <c r="A9" s="4">
        <v>5</v>
      </c>
      <c r="B9" s="18" t="s">
        <v>467</v>
      </c>
      <c r="C9" s="19">
        <v>1</v>
      </c>
      <c r="D9" s="157" t="s">
        <v>1088</v>
      </c>
      <c r="E9" s="141"/>
      <c r="F9" s="141"/>
      <c r="G9" s="141"/>
      <c r="H9" s="141"/>
      <c r="I9" s="141"/>
      <c r="J9" s="141"/>
      <c r="K9" s="141"/>
      <c r="L9" s="141"/>
    </row>
    <row r="10" spans="1:12" x14ac:dyDescent="0.2">
      <c r="A10" s="4">
        <v>6</v>
      </c>
      <c r="B10" s="18" t="s">
        <v>572</v>
      </c>
      <c r="C10" s="19">
        <v>0.7</v>
      </c>
      <c r="D10" s="157" t="s">
        <v>1090</v>
      </c>
      <c r="E10" s="141"/>
      <c r="F10" s="141"/>
      <c r="G10" s="141"/>
      <c r="H10" s="141"/>
      <c r="I10" s="141"/>
      <c r="J10" s="141"/>
      <c r="K10" s="141"/>
      <c r="L10" s="141"/>
    </row>
    <row r="11" spans="1:12" x14ac:dyDescent="0.2">
      <c r="A11" s="4">
        <v>7</v>
      </c>
      <c r="B11" s="18" t="s">
        <v>675</v>
      </c>
      <c r="C11" s="19">
        <v>0.4</v>
      </c>
      <c r="D11" s="157" t="s">
        <v>1089</v>
      </c>
      <c r="E11" s="141"/>
      <c r="F11" s="141"/>
      <c r="G11" s="141"/>
      <c r="H11" s="141"/>
      <c r="I11" s="141"/>
      <c r="J11" s="141"/>
      <c r="K11" s="141"/>
      <c r="L11" s="141"/>
    </row>
    <row r="12" spans="1:12" x14ac:dyDescent="0.2">
      <c r="A12" s="4">
        <v>8</v>
      </c>
      <c r="B12" s="18" t="s">
        <v>779</v>
      </c>
      <c r="C12" s="19">
        <v>0.7</v>
      </c>
      <c r="D12" s="157" t="s">
        <v>1090</v>
      </c>
      <c r="E12" s="141"/>
      <c r="F12" s="141"/>
      <c r="G12" s="141"/>
      <c r="H12" s="141"/>
      <c r="I12" s="141"/>
      <c r="J12" s="141"/>
      <c r="K12" s="141"/>
      <c r="L12" s="141"/>
    </row>
    <row r="13" spans="1:12" x14ac:dyDescent="0.2">
      <c r="A13" s="4">
        <v>9</v>
      </c>
      <c r="B13" s="18" t="s">
        <v>884</v>
      </c>
      <c r="C13" s="19">
        <v>0.7</v>
      </c>
      <c r="D13" s="157" t="s">
        <v>1090</v>
      </c>
      <c r="E13" s="141"/>
      <c r="F13" s="141"/>
      <c r="G13" s="141"/>
      <c r="H13" s="141"/>
      <c r="I13" s="141"/>
      <c r="J13" s="141"/>
      <c r="K13" s="141"/>
      <c r="L13" s="141"/>
    </row>
    <row r="14" spans="1:12" x14ac:dyDescent="0.2">
      <c r="A14" s="4">
        <v>10</v>
      </c>
      <c r="B14" s="18" t="s">
        <v>982</v>
      </c>
      <c r="C14" s="19">
        <v>0.4</v>
      </c>
      <c r="D14" s="157" t="s">
        <v>1089</v>
      </c>
      <c r="E14" s="141"/>
      <c r="F14" s="141"/>
      <c r="G14" s="141"/>
      <c r="H14" s="141"/>
      <c r="I14" s="141"/>
      <c r="J14" s="141"/>
      <c r="K14" s="141"/>
      <c r="L14" s="141"/>
    </row>
    <row r="16" spans="1:12" ht="16" x14ac:dyDescent="0.2">
      <c r="A16" s="156" t="s">
        <v>1091</v>
      </c>
      <c r="B16" s="141"/>
      <c r="C16" s="141"/>
      <c r="D16" s="141"/>
      <c r="E16" s="141"/>
      <c r="F16" s="141"/>
      <c r="G16" s="141"/>
      <c r="H16" s="141"/>
      <c r="I16" s="141"/>
      <c r="J16" s="141"/>
      <c r="K16" s="141"/>
      <c r="L16" s="141"/>
    </row>
    <row r="17" spans="1:12" ht="21" x14ac:dyDescent="0.2">
      <c r="B17" s="20" t="s">
        <v>1092</v>
      </c>
      <c r="C17" s="21">
        <f>IFERROR(MEDIAN(1,1+9*($C$19-$C$20)/($C$21-$C$20),10),"—")</f>
        <v>6.2731277533039664</v>
      </c>
    </row>
    <row r="18" spans="1:12" ht="32" x14ac:dyDescent="0.2">
      <c r="B18" s="22" t="s">
        <v>1093</v>
      </c>
      <c r="C18" s="10" t="str">
        <f>IFERROR(IF($C$17&lt;2,"Aggressive",IF($C$17&lt;4,"Moderately Aggressive",IF($C$17&lt;6,"Moderate",IF($C$17&lt;8,"Moderately Conservative","Conservative")))),"—")</f>
        <v>Moderately Conservative</v>
      </c>
    </row>
    <row r="19" spans="1:12" x14ac:dyDescent="0.2">
      <c r="B19" s="22" t="s">
        <v>1094</v>
      </c>
      <c r="C19" s="23">
        <f>IFERROR(K37/L37,"—")</f>
        <v>5.3880597014925371</v>
      </c>
    </row>
    <row r="20" spans="1:12" x14ac:dyDescent="0.2">
      <c r="B20" s="22" t="s">
        <v>1095</v>
      </c>
      <c r="C20" s="23">
        <f>IFERROR(I37/L37,"—")</f>
        <v>1.4179104477611939</v>
      </c>
    </row>
    <row r="21" spans="1:12" x14ac:dyDescent="0.2">
      <c r="B21" s="22" t="s">
        <v>1096</v>
      </c>
      <c r="C21" s="23">
        <f>IFERROR(J37/L37,"—")</f>
        <v>8.1940298507462668</v>
      </c>
    </row>
    <row r="22" spans="1:12" x14ac:dyDescent="0.2">
      <c r="B22" s="22" t="s">
        <v>1097</v>
      </c>
      <c r="C22" s="24">
        <f>F37</f>
        <v>10</v>
      </c>
    </row>
    <row r="25" spans="1:12" ht="16" x14ac:dyDescent="0.2">
      <c r="A25" s="156" t="s">
        <v>1098</v>
      </c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</row>
    <row r="26" spans="1:12" ht="16" x14ac:dyDescent="0.2">
      <c r="A26" s="3" t="s">
        <v>5</v>
      </c>
      <c r="B26" s="3" t="s">
        <v>6</v>
      </c>
      <c r="C26" s="3" t="s">
        <v>7</v>
      </c>
      <c r="D26" s="3" t="s">
        <v>1086</v>
      </c>
      <c r="E26" s="3" t="s">
        <v>1099</v>
      </c>
      <c r="F26" s="3" t="s">
        <v>1100</v>
      </c>
      <c r="G26" s="3" t="s">
        <v>1101</v>
      </c>
      <c r="H26" s="3" t="s">
        <v>1102</v>
      </c>
      <c r="I26" s="3" t="s">
        <v>1103</v>
      </c>
      <c r="J26" s="3" t="s">
        <v>1104</v>
      </c>
      <c r="K26" s="3" t="s">
        <v>1105</v>
      </c>
      <c r="L26" s="3" t="s">
        <v>1106</v>
      </c>
    </row>
    <row r="27" spans="1:12" ht="32" x14ac:dyDescent="0.2">
      <c r="A27" s="4">
        <v>1</v>
      </c>
      <c r="B27" s="4" t="str">
        <f>'1_Questionnaire'!B9</f>
        <v>3.8</v>
      </c>
      <c r="C27" s="25" t="str">
        <f>'1_Questionnaire'!C9</f>
        <v>Behavioural Loss Reactions</v>
      </c>
      <c r="D27" s="7">
        <f t="shared" ref="D27:D36" si="0">IFERROR(VLOOKUP(C27,$B$5:$C$14,2,FALSE),"")</f>
        <v>0.7</v>
      </c>
      <c r="E27" s="7">
        <f>'1_Questionnaire'!G9</f>
        <v>8</v>
      </c>
      <c r="F27" s="4">
        <f t="shared" ref="F27:F36" si="1">IF(ISNUMBER(E27),1,0)</f>
        <v>1</v>
      </c>
      <c r="G27" s="7">
        <f>IF(B27="","",IFERROR(VLOOKUP(B27&amp;"",'15_QID_Bounds'!$A:$C,2,FALSE),""))</f>
        <v>1</v>
      </c>
      <c r="H27" s="7">
        <f>IF(B27="","",IFERROR(VLOOKUP(B27&amp;"",'15_QID_Bounds'!$A:$C,3,FALSE),""))</f>
        <v>8</v>
      </c>
      <c r="I27" s="23">
        <f t="shared" ref="I27:I36" si="2">IFERROR(G27*D27*F27,0)</f>
        <v>0.7</v>
      </c>
      <c r="J27" s="23">
        <f t="shared" ref="J27:J36" si="3">IFERROR(H27*D27*F27,0)</f>
        <v>5.6</v>
      </c>
      <c r="K27" s="23">
        <f t="shared" ref="K27:K36" si="4">IF(F27=1,IFERROR(E27*D27,0),0)</f>
        <v>5.6</v>
      </c>
      <c r="L27" s="7">
        <f t="shared" ref="L27:L36" si="5">IFERROR(D27*F27,0)</f>
        <v>0.7</v>
      </c>
    </row>
    <row r="28" spans="1:12" ht="48" x14ac:dyDescent="0.2">
      <c r="A28" s="4">
        <v>2</v>
      </c>
      <c r="B28" s="4" t="str">
        <f>'1_Questionnaire'!B10</f>
        <v>6.10</v>
      </c>
      <c r="C28" s="25" t="str">
        <f>'1_Questionnaire'!C10</f>
        <v>Self-Description &amp; Personality</v>
      </c>
      <c r="D28" s="7">
        <f t="shared" si="0"/>
        <v>0.7</v>
      </c>
      <c r="E28" s="7">
        <f>'1_Questionnaire'!G10</f>
        <v>5</v>
      </c>
      <c r="F28" s="4">
        <f t="shared" si="1"/>
        <v>1</v>
      </c>
      <c r="G28" s="7">
        <f>IF(B28="","",IFERROR(VLOOKUP(B28&amp;"",'15_QID_Bounds'!$A:$C,2,FALSE),""))</f>
        <v>1</v>
      </c>
      <c r="H28" s="7">
        <f>IF(B28="","",IFERROR(VLOOKUP(B28&amp;"",'15_QID_Bounds'!$A:$C,3,FALSE),""))</f>
        <v>7</v>
      </c>
      <c r="I28" s="23">
        <f t="shared" si="2"/>
        <v>0.7</v>
      </c>
      <c r="J28" s="23">
        <f t="shared" si="3"/>
        <v>4.8999999999999995</v>
      </c>
      <c r="K28" s="23">
        <f t="shared" si="4"/>
        <v>3.5</v>
      </c>
      <c r="L28" s="7">
        <f t="shared" si="5"/>
        <v>0.7</v>
      </c>
    </row>
    <row r="29" spans="1:12" ht="32" x14ac:dyDescent="0.2">
      <c r="A29" s="4">
        <v>3</v>
      </c>
      <c r="B29" s="4" t="str">
        <f>'1_Questionnaire'!B11</f>
        <v>1.5</v>
      </c>
      <c r="C29" s="25" t="str">
        <f>'1_Questionnaire'!C11</f>
        <v>Explicit Gambles</v>
      </c>
      <c r="D29" s="7">
        <f t="shared" si="0"/>
        <v>1</v>
      </c>
      <c r="E29" s="7">
        <f>'1_Questionnaire'!G11</f>
        <v>6</v>
      </c>
      <c r="F29" s="4">
        <f t="shared" si="1"/>
        <v>1</v>
      </c>
      <c r="G29" s="7">
        <f>IF(B29="","",IFERROR(VLOOKUP(B29&amp;"",'15_QID_Bounds'!$A:$C,2,FALSE),""))</f>
        <v>1</v>
      </c>
      <c r="H29" s="7">
        <f>IF(B29="","",IFERROR(VLOOKUP(B29&amp;"",'15_QID_Bounds'!$A:$C,3,FALSE),""))</f>
        <v>9</v>
      </c>
      <c r="I29" s="23">
        <f t="shared" si="2"/>
        <v>1</v>
      </c>
      <c r="J29" s="23">
        <f t="shared" si="3"/>
        <v>9</v>
      </c>
      <c r="K29" s="23">
        <f t="shared" si="4"/>
        <v>6</v>
      </c>
      <c r="L29" s="7">
        <f t="shared" si="5"/>
        <v>1</v>
      </c>
    </row>
    <row r="30" spans="1:12" ht="48" x14ac:dyDescent="0.2">
      <c r="A30" s="4">
        <v>4</v>
      </c>
      <c r="B30" s="4" t="str">
        <f>'1_Questionnaire'!B12</f>
        <v>4.9</v>
      </c>
      <c r="C30" s="25" t="str">
        <f>'1_Questionnaire'!C12</f>
        <v>Portfolio Allocation Preferences</v>
      </c>
      <c r="D30" s="7">
        <f t="shared" si="0"/>
        <v>0.7</v>
      </c>
      <c r="E30" s="7">
        <f>'1_Questionnaire'!G12</f>
        <v>3</v>
      </c>
      <c r="F30" s="4">
        <f t="shared" si="1"/>
        <v>1</v>
      </c>
      <c r="G30" s="7">
        <f>IF(B30="","",IFERROR(VLOOKUP(B30&amp;"",'15_QID_Bounds'!$A:$C,2,FALSE),""))</f>
        <v>1.5</v>
      </c>
      <c r="H30" s="7">
        <f>IF(B30="","",IFERROR(VLOOKUP(B30&amp;"",'15_QID_Bounds'!$A:$C,3,FALSE),""))</f>
        <v>9</v>
      </c>
      <c r="I30" s="23">
        <f t="shared" si="2"/>
        <v>1.0499999999999998</v>
      </c>
      <c r="J30" s="23">
        <f t="shared" si="3"/>
        <v>6.3</v>
      </c>
      <c r="K30" s="23">
        <f t="shared" si="4"/>
        <v>2.0999999999999996</v>
      </c>
      <c r="L30" s="7">
        <f t="shared" si="5"/>
        <v>0.7</v>
      </c>
    </row>
    <row r="31" spans="1:12" ht="48" x14ac:dyDescent="0.2">
      <c r="A31" s="4">
        <v>5</v>
      </c>
      <c r="B31" s="4" t="str">
        <f>'1_Questionnaire'!B13</f>
        <v>5.7</v>
      </c>
      <c r="C31" s="25" t="str">
        <f>'1_Questionnaire'!C13</f>
        <v>Forced Concentration</v>
      </c>
      <c r="D31" s="7">
        <f t="shared" si="0"/>
        <v>1</v>
      </c>
      <c r="E31" s="7">
        <f>'1_Questionnaire'!G13</f>
        <v>6</v>
      </c>
      <c r="F31" s="4">
        <f t="shared" si="1"/>
        <v>1</v>
      </c>
      <c r="G31" s="7">
        <f>IF(B31="","",IFERROR(VLOOKUP(B31&amp;"",'15_QID_Bounds'!$A:$C,2,FALSE),""))</f>
        <v>1.5</v>
      </c>
      <c r="H31" s="7">
        <f>IF(B31="","",IFERROR(VLOOKUP(B31&amp;"",'15_QID_Bounds'!$A:$C,3,FALSE),""))</f>
        <v>8</v>
      </c>
      <c r="I31" s="23">
        <f t="shared" si="2"/>
        <v>1.5</v>
      </c>
      <c r="J31" s="23">
        <f t="shared" si="3"/>
        <v>8</v>
      </c>
      <c r="K31" s="23">
        <f t="shared" si="4"/>
        <v>6</v>
      </c>
      <c r="L31" s="7">
        <f t="shared" si="5"/>
        <v>1</v>
      </c>
    </row>
    <row r="32" spans="1:12" ht="32" x14ac:dyDescent="0.2">
      <c r="A32" s="4">
        <v>6</v>
      </c>
      <c r="B32" s="4" t="str">
        <f>'1_Questionnaire'!B14</f>
        <v>7.1</v>
      </c>
      <c r="C32" s="25" t="str">
        <f>'1_Questionnaire'!C14</f>
        <v>Experience &amp; Knowledge</v>
      </c>
      <c r="D32" s="7">
        <f t="shared" si="0"/>
        <v>0.4</v>
      </c>
      <c r="E32" s="7">
        <f>'1_Questionnaire'!G14</f>
        <v>5</v>
      </c>
      <c r="F32" s="4">
        <f t="shared" si="1"/>
        <v>1</v>
      </c>
      <c r="G32" s="7">
        <f>IF(B32="","",IFERROR(VLOOKUP(B32&amp;"",'15_QID_Bounds'!$A:$C,2,FALSE),""))</f>
        <v>2.5</v>
      </c>
      <c r="H32" s="7">
        <f>IF(B32="","",IFERROR(VLOOKUP(B32&amp;"",'15_QID_Bounds'!$A:$C,3,FALSE),""))</f>
        <v>8</v>
      </c>
      <c r="I32" s="23">
        <f t="shared" si="2"/>
        <v>1</v>
      </c>
      <c r="J32" s="23">
        <f t="shared" si="3"/>
        <v>3.2</v>
      </c>
      <c r="K32" s="23">
        <f t="shared" si="4"/>
        <v>2</v>
      </c>
      <c r="L32" s="7">
        <f t="shared" si="5"/>
        <v>0.4</v>
      </c>
    </row>
    <row r="33" spans="1:12" ht="32" x14ac:dyDescent="0.2">
      <c r="A33" s="4">
        <v>7</v>
      </c>
      <c r="B33" s="4" t="str">
        <f>'1_Questionnaire'!B15</f>
        <v>2.3</v>
      </c>
      <c r="C33" s="25" t="str">
        <f>'1_Questionnaire'!C15</f>
        <v>Time Horizon &amp; Liquidity</v>
      </c>
      <c r="D33" s="7">
        <f t="shared" si="0"/>
        <v>0.4</v>
      </c>
      <c r="E33" s="7">
        <f>'1_Questionnaire'!G15</f>
        <v>4</v>
      </c>
      <c r="F33" s="4">
        <f t="shared" si="1"/>
        <v>1</v>
      </c>
      <c r="G33" s="7">
        <f>IF(B33="","",IFERROR(VLOOKUP(B33&amp;"",'15_QID_Bounds'!$A:$C,2,FALSE),""))</f>
        <v>1.5</v>
      </c>
      <c r="H33" s="7">
        <f>IF(B33="","",IFERROR(VLOOKUP(B33&amp;"",'15_QID_Bounds'!$A:$C,3,FALSE),""))</f>
        <v>8</v>
      </c>
      <c r="I33" s="23">
        <f t="shared" si="2"/>
        <v>0.60000000000000009</v>
      </c>
      <c r="J33" s="23">
        <f t="shared" si="3"/>
        <v>3.2</v>
      </c>
      <c r="K33" s="23">
        <f t="shared" si="4"/>
        <v>1.6</v>
      </c>
      <c r="L33" s="7">
        <f t="shared" si="5"/>
        <v>0.4</v>
      </c>
    </row>
    <row r="34" spans="1:12" ht="32" x14ac:dyDescent="0.2">
      <c r="A34" s="4">
        <v>8</v>
      </c>
      <c r="B34" s="4" t="str">
        <f>'1_Questionnaire'!B16</f>
        <v>9.5</v>
      </c>
      <c r="C34" s="25" t="str">
        <f>'1_Questionnaire'!C16</f>
        <v>Market Event Scenarios</v>
      </c>
      <c r="D34" s="7">
        <f t="shared" si="0"/>
        <v>0.7</v>
      </c>
      <c r="E34" s="7">
        <f>'1_Questionnaire'!G16</f>
        <v>5</v>
      </c>
      <c r="F34" s="4">
        <f t="shared" si="1"/>
        <v>1</v>
      </c>
      <c r="G34" s="7">
        <f>IF(B34="","",IFERROR(VLOOKUP(B34&amp;"",'15_QID_Bounds'!$A:$C,2,FALSE),""))</f>
        <v>1</v>
      </c>
      <c r="H34" s="7">
        <f>IF(B34="","",IFERROR(VLOOKUP(B34&amp;"",'15_QID_Bounds'!$A:$C,3,FALSE),""))</f>
        <v>8</v>
      </c>
      <c r="I34" s="23">
        <f t="shared" si="2"/>
        <v>0.7</v>
      </c>
      <c r="J34" s="23">
        <f t="shared" si="3"/>
        <v>5.6</v>
      </c>
      <c r="K34" s="23">
        <f t="shared" si="4"/>
        <v>3.5</v>
      </c>
      <c r="L34" s="7">
        <f t="shared" si="5"/>
        <v>0.7</v>
      </c>
    </row>
    <row r="35" spans="1:12" ht="32" x14ac:dyDescent="0.2">
      <c r="A35" s="4">
        <v>9</v>
      </c>
      <c r="B35" s="4" t="str">
        <f>'1_Questionnaire'!B17</f>
        <v>10.1</v>
      </c>
      <c r="C35" s="25" t="str">
        <f>'1_Questionnaire'!C17</f>
        <v>Situational Finance</v>
      </c>
      <c r="D35" s="7">
        <f t="shared" si="0"/>
        <v>0.4</v>
      </c>
      <c r="E35" s="7">
        <f>'1_Questionnaire'!G17</f>
        <v>4</v>
      </c>
      <c r="F35" s="4">
        <f t="shared" si="1"/>
        <v>1</v>
      </c>
      <c r="G35" s="7">
        <f>IF(B35="","",IFERROR(VLOOKUP(B35&amp;"",'15_QID_Bounds'!$A:$C,2,FALSE),""))</f>
        <v>3</v>
      </c>
      <c r="H35" s="7">
        <f>IF(B35="","",IFERROR(VLOOKUP(B35&amp;"",'15_QID_Bounds'!$A:$C,3,FALSE),""))</f>
        <v>7</v>
      </c>
      <c r="I35" s="23">
        <f t="shared" si="2"/>
        <v>1.2000000000000002</v>
      </c>
      <c r="J35" s="23">
        <f t="shared" si="3"/>
        <v>2.8000000000000003</v>
      </c>
      <c r="K35" s="23">
        <f t="shared" si="4"/>
        <v>1.6</v>
      </c>
      <c r="L35" s="7">
        <f t="shared" si="5"/>
        <v>0.4</v>
      </c>
    </row>
    <row r="36" spans="1:12" ht="32" x14ac:dyDescent="0.2">
      <c r="A36" s="4">
        <v>10</v>
      </c>
      <c r="B36" s="4" t="str">
        <f>'1_Questionnaire'!B18</f>
        <v>8.10</v>
      </c>
      <c r="C36" s="25" t="str">
        <f>'1_Questionnaire'!C18</f>
        <v>Goals &amp; Purpose</v>
      </c>
      <c r="D36" s="7">
        <f t="shared" si="0"/>
        <v>0.7</v>
      </c>
      <c r="E36" s="7">
        <f>'1_Questionnaire'!G18</f>
        <v>6</v>
      </c>
      <c r="F36" s="4">
        <f t="shared" si="1"/>
        <v>1</v>
      </c>
      <c r="G36" s="7">
        <f>IF(B36="","",IFERROR(VLOOKUP(B36&amp;"",'15_QID_Bounds'!$A:$C,2,FALSE),""))</f>
        <v>1.5</v>
      </c>
      <c r="H36" s="7">
        <f>IF(B36="","",IFERROR(VLOOKUP(B36&amp;"",'15_QID_Bounds'!$A:$C,3,FALSE),""))</f>
        <v>9</v>
      </c>
      <c r="I36" s="23">
        <f t="shared" si="2"/>
        <v>1.0499999999999998</v>
      </c>
      <c r="J36" s="23">
        <f t="shared" si="3"/>
        <v>6.3</v>
      </c>
      <c r="K36" s="23">
        <f t="shared" si="4"/>
        <v>4.1999999999999993</v>
      </c>
      <c r="L36" s="7">
        <f t="shared" si="5"/>
        <v>0.7</v>
      </c>
    </row>
    <row r="37" spans="1:12" x14ac:dyDescent="0.2">
      <c r="C37" s="20" t="s">
        <v>1107</v>
      </c>
      <c r="F37" s="26">
        <f t="shared" ref="F37:L37" si="6">SUM(F27:F36)</f>
        <v>10</v>
      </c>
      <c r="G37" s="27">
        <f t="shared" si="6"/>
        <v>15.5</v>
      </c>
      <c r="H37" s="27">
        <f t="shared" si="6"/>
        <v>81</v>
      </c>
      <c r="I37" s="27">
        <f t="shared" si="6"/>
        <v>9.5</v>
      </c>
      <c r="J37" s="27">
        <f t="shared" si="6"/>
        <v>54.9</v>
      </c>
      <c r="K37" s="27">
        <f t="shared" si="6"/>
        <v>36.1</v>
      </c>
      <c r="L37" s="26">
        <f t="shared" si="6"/>
        <v>6.7000000000000011</v>
      </c>
    </row>
  </sheetData>
  <mergeCells count="15">
    <mergeCell ref="A25:L25"/>
    <mergeCell ref="D5:L5"/>
    <mergeCell ref="D14:L14"/>
    <mergeCell ref="A1:L1"/>
    <mergeCell ref="D4:L4"/>
    <mergeCell ref="D9:L9"/>
    <mergeCell ref="D12:L12"/>
    <mergeCell ref="A3:L3"/>
    <mergeCell ref="D8:L8"/>
    <mergeCell ref="D6:L6"/>
    <mergeCell ref="D7:L7"/>
    <mergeCell ref="D10:L10"/>
    <mergeCell ref="A16:L16"/>
    <mergeCell ref="D11:L11"/>
    <mergeCell ref="D13:L13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92D050"/>
  </sheetPr>
  <dimension ref="A1:N30"/>
  <sheetViews>
    <sheetView workbookViewId="0">
      <selection activeCell="F47" sqref="F47"/>
    </sheetView>
  </sheetViews>
  <sheetFormatPr baseColWidth="10" defaultColWidth="8.83203125" defaultRowHeight="15" x14ac:dyDescent="0.2"/>
  <cols>
    <col min="1" max="1" width="24" customWidth="1"/>
    <col min="2" max="2" width="11" customWidth="1"/>
    <col min="3" max="3" width="12" customWidth="1"/>
    <col min="4" max="4" width="4" customWidth="1"/>
    <col min="5" max="14" width="12" customWidth="1"/>
  </cols>
  <sheetData>
    <row r="1" spans="1:14" ht="28" customHeight="1" x14ac:dyDescent="0.2">
      <c r="A1" s="162" t="s">
        <v>1108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</row>
    <row r="2" spans="1:14" ht="16" x14ac:dyDescent="0.2">
      <c r="A2" s="17" t="s">
        <v>1109</v>
      </c>
      <c r="B2" s="17" t="s">
        <v>1086</v>
      </c>
      <c r="C2" s="17" t="s">
        <v>1110</v>
      </c>
      <c r="D2" s="28"/>
      <c r="E2" s="161" t="s">
        <v>1111</v>
      </c>
      <c r="F2" s="159"/>
      <c r="G2" s="159"/>
      <c r="H2" s="159"/>
      <c r="I2" s="159"/>
      <c r="J2" s="159"/>
      <c r="K2" s="159"/>
      <c r="L2" s="159"/>
      <c r="M2" s="159"/>
      <c r="N2" s="160"/>
    </row>
    <row r="3" spans="1:14" x14ac:dyDescent="0.2">
      <c r="A3" s="29" t="s">
        <v>1112</v>
      </c>
      <c r="B3" s="30">
        <v>0</v>
      </c>
      <c r="C3" s="31">
        <v>2.3300000000000001E-2</v>
      </c>
      <c r="E3" s="32">
        <f>'13_Part_1_Data'!B20</f>
        <v>2.3159999999999999E-3</v>
      </c>
      <c r="F3" s="33">
        <f>'13_Part_1_Data'!C20</f>
        <v>7.1459999999999996E-3</v>
      </c>
      <c r="G3" s="33">
        <f>'13_Part_1_Data'!D20</f>
        <v>2.1540000000000001E-3</v>
      </c>
      <c r="H3" s="33">
        <f>'13_Part_1_Data'!E20</f>
        <v>4.6379999999999998E-3</v>
      </c>
      <c r="I3" s="33">
        <f>'13_Part_1_Data'!F20</f>
        <v>2.3640000000000002E-3</v>
      </c>
      <c r="J3" s="33">
        <f>'13_Part_1_Data'!G20</f>
        <v>2.1380000000000001E-3</v>
      </c>
      <c r="K3" s="33">
        <f>'13_Part_1_Data'!H20</f>
        <v>5.2830000000000004E-3</v>
      </c>
      <c r="L3" s="33">
        <f>'13_Part_1_Data'!I20</f>
        <v>4.2139999999999999E-3</v>
      </c>
      <c r="M3" s="33">
        <f>'13_Part_1_Data'!J20</f>
        <v>5.2919999999999998E-3</v>
      </c>
      <c r="N3" s="33">
        <f>'13_Part_1_Data'!K20</f>
        <v>1.9629999999999999E-3</v>
      </c>
    </row>
    <row r="4" spans="1:14" x14ac:dyDescent="0.2">
      <c r="A4" s="29" t="s">
        <v>1113</v>
      </c>
      <c r="B4" s="30">
        <v>0.1888481254664772</v>
      </c>
      <c r="C4" s="31">
        <v>0.26540000000000002</v>
      </c>
      <c r="E4" s="33">
        <f>'13_Part_1_Data'!B21</f>
        <v>7.1459999999999996E-3</v>
      </c>
      <c r="F4" s="32">
        <f>'13_Part_1_Data'!C21</f>
        <v>0.111097</v>
      </c>
      <c r="G4" s="33">
        <f>'13_Part_1_Data'!D21</f>
        <v>8.2159999999999993E-3</v>
      </c>
      <c r="H4" s="33">
        <f>'13_Part_1_Data'!E21</f>
        <v>3.2099999999999997E-2</v>
      </c>
      <c r="I4" s="33">
        <f>'13_Part_1_Data'!F21</f>
        <v>1.2258E-2</v>
      </c>
      <c r="J4" s="33">
        <f>'13_Part_1_Data'!G21</f>
        <v>2.0331999999999999E-2</v>
      </c>
      <c r="K4" s="33">
        <f>'13_Part_1_Data'!H21</f>
        <v>3.7053000000000003E-2</v>
      </c>
      <c r="L4" s="33">
        <f>'13_Part_1_Data'!I21</f>
        <v>3.0616999999999998E-2</v>
      </c>
      <c r="M4" s="33">
        <f>'13_Part_1_Data'!J21</f>
        <v>3.0099999999999998E-2</v>
      </c>
      <c r="N4" s="33">
        <f>'13_Part_1_Data'!K21</f>
        <v>8.0319999999999992E-3</v>
      </c>
    </row>
    <row r="5" spans="1:14" x14ac:dyDescent="0.2">
      <c r="A5" s="29" t="s">
        <v>1114</v>
      </c>
      <c r="B5" s="30">
        <v>0</v>
      </c>
      <c r="C5" s="31">
        <v>-6.3799999999999996E-2</v>
      </c>
      <c r="E5" s="33">
        <f>'13_Part_1_Data'!B22</f>
        <v>2.1540000000000001E-3</v>
      </c>
      <c r="F5" s="33">
        <f>'13_Part_1_Data'!C22</f>
        <v>8.2159999999999993E-3</v>
      </c>
      <c r="G5" s="32">
        <f>'13_Part_1_Data'!D22</f>
        <v>5.9569999999999996E-3</v>
      </c>
      <c r="H5" s="33">
        <f>'13_Part_1_Data'!E22</f>
        <v>9.0039999999999999E-3</v>
      </c>
      <c r="I5" s="33">
        <f>'13_Part_1_Data'!F22</f>
        <v>3.4199999999999999E-3</v>
      </c>
      <c r="J5" s="33">
        <f>'13_Part_1_Data'!G22</f>
        <v>2.761E-3</v>
      </c>
      <c r="K5" s="33">
        <f>'13_Part_1_Data'!H22</f>
        <v>9.5569999999999995E-3</v>
      </c>
      <c r="L5" s="33">
        <f>'13_Part_1_Data'!I22</f>
        <v>5.6259999999999999E-3</v>
      </c>
      <c r="M5" s="33">
        <f>'13_Part_1_Data'!J22</f>
        <v>8.4110000000000001E-3</v>
      </c>
      <c r="N5" s="33">
        <f>'13_Part_1_Data'!K22</f>
        <v>2.9350000000000001E-3</v>
      </c>
    </row>
    <row r="6" spans="1:14" x14ac:dyDescent="0.2">
      <c r="A6" s="29" t="s">
        <v>1115</v>
      </c>
      <c r="B6" s="30">
        <v>0</v>
      </c>
      <c r="C6" s="31">
        <v>6.8500000000000005E-2</v>
      </c>
      <c r="E6" s="33">
        <f>'13_Part_1_Data'!B23</f>
        <v>4.6379999999999998E-3</v>
      </c>
      <c r="F6" s="33">
        <f>'13_Part_1_Data'!C23</f>
        <v>3.2099999999999997E-2</v>
      </c>
      <c r="G6" s="33">
        <f>'13_Part_1_Data'!D23</f>
        <v>9.0039999999999999E-3</v>
      </c>
      <c r="H6" s="32">
        <f>'13_Part_1_Data'!E23</f>
        <v>3.4146999999999997E-2</v>
      </c>
      <c r="I6" s="33">
        <f>'13_Part_1_Data'!F23</f>
        <v>1.0808999999999999E-2</v>
      </c>
      <c r="J6" s="33">
        <f>'13_Part_1_Data'!G23</f>
        <v>1.2008E-2</v>
      </c>
      <c r="K6" s="33">
        <f>'13_Part_1_Data'!H23</f>
        <v>3.2895000000000001E-2</v>
      </c>
      <c r="L6" s="33">
        <f>'13_Part_1_Data'!I23</f>
        <v>2.1194999999999999E-2</v>
      </c>
      <c r="M6" s="33">
        <f>'13_Part_1_Data'!J23</f>
        <v>2.3703999999999999E-2</v>
      </c>
      <c r="N6" s="33">
        <f>'13_Part_1_Data'!K23</f>
        <v>6.7089999999999997E-3</v>
      </c>
    </row>
    <row r="7" spans="1:14" x14ac:dyDescent="0.2">
      <c r="A7" s="29" t="s">
        <v>1116</v>
      </c>
      <c r="B7" s="30">
        <v>0.16937738175344749</v>
      </c>
      <c r="C7" s="31">
        <v>7.4999999999999997E-2</v>
      </c>
      <c r="E7" s="33">
        <f>'13_Part_1_Data'!B24</f>
        <v>2.3640000000000002E-3</v>
      </c>
      <c r="F7" s="33">
        <f>'13_Part_1_Data'!C24</f>
        <v>1.2258E-2</v>
      </c>
      <c r="G7" s="33">
        <f>'13_Part_1_Data'!D24</f>
        <v>3.4199999999999999E-3</v>
      </c>
      <c r="H7" s="33">
        <f>'13_Part_1_Data'!E24</f>
        <v>1.0808999999999999E-2</v>
      </c>
      <c r="I7" s="32">
        <f>'13_Part_1_Data'!F24</f>
        <v>1.7191000000000001E-2</v>
      </c>
      <c r="J7" s="33">
        <f>'13_Part_1_Data'!G24</f>
        <v>1.4643E-2</v>
      </c>
      <c r="K7" s="33">
        <f>'13_Part_1_Data'!H24</f>
        <v>1.6192000000000002E-2</v>
      </c>
      <c r="L7" s="33">
        <f>'13_Part_1_Data'!I24</f>
        <v>1.1106E-2</v>
      </c>
      <c r="M7" s="33">
        <f>'13_Part_1_Data'!J24</f>
        <v>9.443E-3</v>
      </c>
      <c r="N7" s="33">
        <f>'13_Part_1_Data'!K24</f>
        <v>4.9540000000000001E-3</v>
      </c>
    </row>
    <row r="8" spans="1:14" x14ac:dyDescent="0.2">
      <c r="A8" s="29" t="s">
        <v>1117</v>
      </c>
      <c r="B8" s="30">
        <v>0</v>
      </c>
      <c r="C8" s="31">
        <v>7.6700000000000004E-2</v>
      </c>
      <c r="E8" s="33">
        <f>'13_Part_1_Data'!B25</f>
        <v>2.1380000000000001E-3</v>
      </c>
      <c r="F8" s="33">
        <f>'13_Part_1_Data'!C25</f>
        <v>2.0331999999999999E-2</v>
      </c>
      <c r="G8" s="33">
        <f>'13_Part_1_Data'!D25</f>
        <v>2.761E-3</v>
      </c>
      <c r="H8" s="33">
        <f>'13_Part_1_Data'!E25</f>
        <v>1.2008E-2</v>
      </c>
      <c r="I8" s="33">
        <f>'13_Part_1_Data'!F25</f>
        <v>1.4643E-2</v>
      </c>
      <c r="J8" s="32">
        <f>'13_Part_1_Data'!G25</f>
        <v>1.9262000000000001E-2</v>
      </c>
      <c r="K8" s="33">
        <f>'13_Part_1_Data'!H25</f>
        <v>1.5764E-2</v>
      </c>
      <c r="L8" s="33">
        <f>'13_Part_1_Data'!I25</f>
        <v>1.3750999999999999E-2</v>
      </c>
      <c r="M8" s="33">
        <f>'13_Part_1_Data'!J25</f>
        <v>1.1577E-2</v>
      </c>
      <c r="N8" s="33">
        <f>'13_Part_1_Data'!K25</f>
        <v>5.0889999999999998E-3</v>
      </c>
    </row>
    <row r="9" spans="1:14" x14ac:dyDescent="0.2">
      <c r="A9" s="29" t="s">
        <v>1118</v>
      </c>
      <c r="B9" s="30">
        <v>0</v>
      </c>
      <c r="C9" s="31">
        <v>4.9599999999999998E-2</v>
      </c>
      <c r="E9" s="33">
        <f>'13_Part_1_Data'!B26</f>
        <v>5.2830000000000004E-3</v>
      </c>
      <c r="F9" s="33">
        <f>'13_Part_1_Data'!C26</f>
        <v>3.7053000000000003E-2</v>
      </c>
      <c r="G9" s="33">
        <f>'13_Part_1_Data'!D26</f>
        <v>9.5569999999999995E-3</v>
      </c>
      <c r="H9" s="33">
        <f>'13_Part_1_Data'!E26</f>
        <v>3.2895000000000001E-2</v>
      </c>
      <c r="I9" s="33">
        <f>'13_Part_1_Data'!F26</f>
        <v>1.6192000000000002E-2</v>
      </c>
      <c r="J9" s="33">
        <f>'13_Part_1_Data'!G26</f>
        <v>1.5764E-2</v>
      </c>
      <c r="K9" s="32">
        <f>'13_Part_1_Data'!H26</f>
        <v>3.8771E-2</v>
      </c>
      <c r="L9" s="33">
        <f>'13_Part_1_Data'!I26</f>
        <v>2.2512000000000001E-2</v>
      </c>
      <c r="M9" s="33">
        <f>'13_Part_1_Data'!J26</f>
        <v>2.3903000000000001E-2</v>
      </c>
      <c r="N9" s="33">
        <f>'13_Part_1_Data'!K26</f>
        <v>8.1849999999999996E-3</v>
      </c>
    </row>
    <row r="10" spans="1:14" x14ac:dyDescent="0.2">
      <c r="A10" s="29" t="s">
        <v>1119</v>
      </c>
      <c r="B10" s="30">
        <v>0.64177449278007537</v>
      </c>
      <c r="C10" s="31">
        <v>0.15240000000000001</v>
      </c>
      <c r="E10" s="33">
        <f>'13_Part_1_Data'!B27</f>
        <v>4.2139999999999999E-3</v>
      </c>
      <c r="F10" s="33">
        <f>'13_Part_1_Data'!C27</f>
        <v>3.0616999999999998E-2</v>
      </c>
      <c r="G10" s="33">
        <f>'13_Part_1_Data'!D27</f>
        <v>5.6259999999999999E-3</v>
      </c>
      <c r="H10" s="33">
        <f>'13_Part_1_Data'!E27</f>
        <v>2.1194999999999999E-2</v>
      </c>
      <c r="I10" s="33">
        <f>'13_Part_1_Data'!F27</f>
        <v>1.1106E-2</v>
      </c>
      <c r="J10" s="33">
        <f>'13_Part_1_Data'!G27</f>
        <v>1.3750999999999999E-2</v>
      </c>
      <c r="K10" s="33">
        <f>'13_Part_1_Data'!H27</f>
        <v>2.2512000000000001E-2</v>
      </c>
      <c r="L10" s="32">
        <f>'13_Part_1_Data'!I27</f>
        <v>2.6535E-2</v>
      </c>
      <c r="M10" s="33">
        <f>'13_Part_1_Data'!J27</f>
        <v>1.9820000000000001E-2</v>
      </c>
      <c r="N10" s="33">
        <f>'13_Part_1_Data'!K27</f>
        <v>6.5199999999999998E-3</v>
      </c>
    </row>
    <row r="11" spans="1:14" x14ac:dyDescent="0.2">
      <c r="A11" s="29" t="s">
        <v>1120</v>
      </c>
      <c r="B11" s="30">
        <v>0</v>
      </c>
      <c r="C11" s="31">
        <v>-8.6800000000000002E-2</v>
      </c>
      <c r="E11" s="33">
        <f>'13_Part_1_Data'!B28</f>
        <v>5.2919999999999998E-3</v>
      </c>
      <c r="F11" s="33">
        <f>'13_Part_1_Data'!C28</f>
        <v>3.0099999999999998E-2</v>
      </c>
      <c r="G11" s="33">
        <f>'13_Part_1_Data'!D28</f>
        <v>8.4110000000000001E-3</v>
      </c>
      <c r="H11" s="33">
        <f>'13_Part_1_Data'!E28</f>
        <v>2.3703999999999999E-2</v>
      </c>
      <c r="I11" s="33">
        <f>'13_Part_1_Data'!F28</f>
        <v>9.443E-3</v>
      </c>
      <c r="J11" s="33">
        <f>'13_Part_1_Data'!G28</f>
        <v>1.1577E-2</v>
      </c>
      <c r="K11" s="33">
        <f>'13_Part_1_Data'!H28</f>
        <v>2.3903000000000001E-2</v>
      </c>
      <c r="L11" s="33">
        <f>'13_Part_1_Data'!I28</f>
        <v>1.9820000000000001E-2</v>
      </c>
      <c r="M11" s="32">
        <f>'13_Part_1_Data'!J28</f>
        <v>2.9069000000000001E-2</v>
      </c>
      <c r="N11" s="33">
        <f>'13_Part_1_Data'!K28</f>
        <v>7.1040000000000001E-3</v>
      </c>
    </row>
    <row r="12" spans="1:14" x14ac:dyDescent="0.2">
      <c r="A12" s="29" t="s">
        <v>1121</v>
      </c>
      <c r="B12" s="34">
        <f>1-SUM(B3:B11)</f>
        <v>0</v>
      </c>
      <c r="C12" s="31">
        <v>2.98E-2</v>
      </c>
      <c r="E12" s="33">
        <f>'13_Part_1_Data'!B29</f>
        <v>1.9629999999999999E-3</v>
      </c>
      <c r="F12" s="33">
        <f>'13_Part_1_Data'!C29</f>
        <v>8.0319999999999992E-3</v>
      </c>
      <c r="G12" s="33">
        <f>'13_Part_1_Data'!D29</f>
        <v>2.9350000000000001E-3</v>
      </c>
      <c r="H12" s="33">
        <f>'13_Part_1_Data'!E29</f>
        <v>6.7089999999999997E-3</v>
      </c>
      <c r="I12" s="33">
        <f>'13_Part_1_Data'!F29</f>
        <v>4.9540000000000001E-3</v>
      </c>
      <c r="J12" s="33">
        <f>'13_Part_1_Data'!G29</f>
        <v>5.0889999999999998E-3</v>
      </c>
      <c r="K12" s="33">
        <f>'13_Part_1_Data'!H29</f>
        <v>8.1849999999999996E-3</v>
      </c>
      <c r="L12" s="33">
        <f>'13_Part_1_Data'!I29</f>
        <v>6.5199999999999998E-3</v>
      </c>
      <c r="M12" s="33">
        <f>'13_Part_1_Data'!J29</f>
        <v>7.1040000000000001E-3</v>
      </c>
      <c r="N12" s="32">
        <f>'13_Part_1_Data'!K29</f>
        <v>3.2880000000000001E-3</v>
      </c>
    </row>
    <row r="13" spans="1:14" x14ac:dyDescent="0.2">
      <c r="A13" s="35" t="s">
        <v>1122</v>
      </c>
      <c r="B13" s="36">
        <f>SUM(B3:B12)</f>
        <v>1</v>
      </c>
    </row>
    <row r="15" spans="1:14" x14ac:dyDescent="0.2">
      <c r="A15" s="20" t="s">
        <v>1123</v>
      </c>
      <c r="B15" s="37">
        <f>SUMPRODUCT(B3:B12,MMULT(E3:N12,B3:B12))</f>
        <v>2.6004504824969875E-2</v>
      </c>
    </row>
    <row r="16" spans="1:14" x14ac:dyDescent="0.2">
      <c r="A16" s="20" t="s">
        <v>1124</v>
      </c>
      <c r="B16" s="31">
        <f>SQRT(B15)</f>
        <v>0.16125912323019084</v>
      </c>
    </row>
    <row r="17" spans="1:14" x14ac:dyDescent="0.2">
      <c r="A17" s="20" t="s">
        <v>1125</v>
      </c>
      <c r="B17" s="38">
        <f>SUMPRODUCT(B3:B12,C3:C12)</f>
        <v>0.16063002882999511</v>
      </c>
    </row>
    <row r="18" spans="1:14" x14ac:dyDescent="0.2">
      <c r="A18" s="35" t="s">
        <v>1126</v>
      </c>
      <c r="B18" s="39">
        <f>'11_Scoring'!$C$17</f>
        <v>6.2731277533039664</v>
      </c>
    </row>
    <row r="19" spans="1:14" ht="19" x14ac:dyDescent="0.2">
      <c r="A19" s="8" t="s">
        <v>1127</v>
      </c>
      <c r="B19" s="40">
        <f>B17-0.5*B18*B15</f>
        <v>7.9065238365772395E-2</v>
      </c>
      <c r="C19">
        <v>0</v>
      </c>
    </row>
    <row r="20" spans="1:14" x14ac:dyDescent="0.2">
      <c r="C20">
        <v>0</v>
      </c>
    </row>
    <row r="21" spans="1:14" ht="36" customHeight="1" x14ac:dyDescent="0.2">
      <c r="A21" s="165" t="s">
        <v>1128</v>
      </c>
      <c r="B21" s="141"/>
      <c r="C21" s="141"/>
      <c r="D21" s="141"/>
      <c r="E21" s="163"/>
      <c r="F21" s="141"/>
      <c r="G21" s="141"/>
      <c r="H21" s="141"/>
      <c r="I21" s="141"/>
      <c r="J21" s="141"/>
      <c r="K21" s="141"/>
      <c r="L21" s="141"/>
      <c r="M21" s="141"/>
      <c r="N21" s="141"/>
    </row>
    <row r="22" spans="1:14" ht="36" customHeight="1" x14ac:dyDescent="0.2">
      <c r="A22" s="164" t="s">
        <v>1129</v>
      </c>
      <c r="B22" s="141"/>
      <c r="C22" s="141"/>
      <c r="D22" s="141"/>
      <c r="E22" s="163"/>
      <c r="F22" s="141"/>
      <c r="G22" s="141"/>
      <c r="H22" s="141"/>
      <c r="I22" s="141"/>
      <c r="J22" s="141"/>
      <c r="K22" s="141"/>
      <c r="L22" s="141"/>
      <c r="M22" s="141"/>
      <c r="N22" s="141"/>
    </row>
    <row r="23" spans="1:14" x14ac:dyDescent="0.2">
      <c r="C23">
        <v>0</v>
      </c>
    </row>
    <row r="24" spans="1:14" x14ac:dyDescent="0.2">
      <c r="A24" s="41" t="s">
        <v>1130</v>
      </c>
      <c r="B24" s="42">
        <f>(B17-'13_Part_1_Data'!$B$4)/B16</f>
        <v>0.77905687637073007</v>
      </c>
      <c r="C24">
        <v>0</v>
      </c>
    </row>
    <row r="25" spans="1:14" x14ac:dyDescent="0.2">
      <c r="A25" s="41" t="s">
        <v>1131</v>
      </c>
      <c r="B25" s="43">
        <f>100000*(1+B17)</f>
        <v>116063.00288299951</v>
      </c>
      <c r="C25">
        <v>0</v>
      </c>
    </row>
    <row r="26" spans="1:14" x14ac:dyDescent="0.2">
      <c r="C26">
        <v>0</v>
      </c>
    </row>
    <row r="27" spans="1:14" x14ac:dyDescent="0.2">
      <c r="A27" s="145" t="s">
        <v>1132</v>
      </c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</row>
    <row r="28" spans="1:14" x14ac:dyDescent="0.2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</row>
    <row r="29" spans="1:14" x14ac:dyDescent="0.2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</row>
    <row r="30" spans="1:14" x14ac:dyDescent="0.2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</row>
  </sheetData>
  <mergeCells count="7">
    <mergeCell ref="A27:N30"/>
    <mergeCell ref="E2:N2"/>
    <mergeCell ref="A1:N1"/>
    <mergeCell ref="E22:N22"/>
    <mergeCell ref="A22:D22"/>
    <mergeCell ref="A21:D21"/>
    <mergeCell ref="E21:N2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OptNoSSButton">
              <controlPr defaultSize="0" print="0" autoFill="0" autoPict="0" macro="[0]!RunOptimizer">
                <anchor moveWithCells="1" sizeWithCells="1">
                  <from>
                    <xdr:col>0</xdr:col>
                    <xdr:colOff>25400</xdr:colOff>
                    <xdr:row>20</xdr:row>
                    <xdr:rowOff>25400</xdr:rowOff>
                  </from>
                  <to>
                    <xdr:col>3</xdr:col>
                    <xdr:colOff>254000</xdr:colOff>
                    <xdr:row>20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WSSButton">
              <controlPr defaultSize="0" print="0" autoFill="0" autoPict="0" macro="[0]!RunOptimizerShortSelling">
                <anchor moveWithCells="1" sizeWithCells="1">
                  <from>
                    <xdr:col>0</xdr:col>
                    <xdr:colOff>25400</xdr:colOff>
                    <xdr:row>21</xdr:row>
                    <xdr:rowOff>0</xdr:rowOff>
                  </from>
                  <to>
                    <xdr:col>3</xdr:col>
                    <xdr:colOff>254000</xdr:colOff>
                    <xdr:row>21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K32"/>
  <sheetViews>
    <sheetView workbookViewId="0">
      <selection sqref="A1:K1"/>
    </sheetView>
  </sheetViews>
  <sheetFormatPr baseColWidth="10" defaultColWidth="8.83203125" defaultRowHeight="15" x14ac:dyDescent="0.2"/>
  <cols>
    <col min="1" max="1" width="22" customWidth="1"/>
    <col min="2" max="11" width="14" customWidth="1"/>
  </cols>
  <sheetData>
    <row r="1" spans="1:11" ht="28" customHeight="1" x14ac:dyDescent="0.2">
      <c r="A1" s="155" t="s">
        <v>1133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</row>
    <row r="2" spans="1:11" x14ac:dyDescent="0.2">
      <c r="A2" s="166" t="s">
        <v>1134</v>
      </c>
      <c r="B2" s="141"/>
      <c r="C2" s="141"/>
      <c r="D2" s="141"/>
      <c r="E2" s="141"/>
      <c r="F2" s="141"/>
      <c r="G2" s="141"/>
      <c r="H2" s="141"/>
      <c r="I2" s="141"/>
      <c r="J2" s="141"/>
      <c r="K2" s="141"/>
    </row>
    <row r="4" spans="1:11" ht="16" x14ac:dyDescent="0.2">
      <c r="A4" s="20" t="s">
        <v>1135</v>
      </c>
      <c r="B4" s="44" t="s">
        <v>1136</v>
      </c>
    </row>
    <row r="6" spans="1:11" ht="16" x14ac:dyDescent="0.2">
      <c r="A6" s="3" t="s">
        <v>1109</v>
      </c>
      <c r="B6" s="3" t="s">
        <v>1137</v>
      </c>
      <c r="C6" s="3" t="s">
        <v>1138</v>
      </c>
    </row>
    <row r="7" spans="1:11" x14ac:dyDescent="0.2">
      <c r="A7" s="18" t="s">
        <v>1112</v>
      </c>
      <c r="B7" s="31">
        <v>2.3300000000000001E-2</v>
      </c>
      <c r="C7" s="31">
        <v>4.8099999999999997E-2</v>
      </c>
    </row>
    <row r="8" spans="1:11" x14ac:dyDescent="0.2">
      <c r="A8" s="18" t="s">
        <v>1113</v>
      </c>
      <c r="B8" s="31">
        <v>0.26540000000000002</v>
      </c>
      <c r="C8" s="31">
        <v>0.33329999999999999</v>
      </c>
    </row>
    <row r="9" spans="1:11" x14ac:dyDescent="0.2">
      <c r="A9" s="18" t="s">
        <v>1114</v>
      </c>
      <c r="B9" s="31">
        <v>-6.3799999999999996E-2</v>
      </c>
      <c r="C9" s="31">
        <v>7.7200000000000005E-2</v>
      </c>
    </row>
    <row r="10" spans="1:11" x14ac:dyDescent="0.2">
      <c r="A10" s="18" t="s">
        <v>1115</v>
      </c>
      <c r="B10" s="31">
        <v>6.8500000000000005E-2</v>
      </c>
      <c r="C10" s="31">
        <v>0.18479999999999999</v>
      </c>
    </row>
    <row r="11" spans="1:11" x14ac:dyDescent="0.2">
      <c r="A11" s="18" t="s">
        <v>1116</v>
      </c>
      <c r="B11" s="31">
        <v>7.4999999999999997E-2</v>
      </c>
      <c r="C11" s="31">
        <v>0.13109999999999999</v>
      </c>
    </row>
    <row r="12" spans="1:11" x14ac:dyDescent="0.2">
      <c r="A12" s="18" t="s">
        <v>1117</v>
      </c>
      <c r="B12" s="31">
        <v>7.6700000000000004E-2</v>
      </c>
      <c r="C12" s="31">
        <v>0.13880000000000001</v>
      </c>
    </row>
    <row r="13" spans="1:11" x14ac:dyDescent="0.2">
      <c r="A13" s="18" t="s">
        <v>1118</v>
      </c>
      <c r="B13" s="31">
        <v>4.9599999999999998E-2</v>
      </c>
      <c r="C13" s="31">
        <v>0.19689999999999999</v>
      </c>
    </row>
    <row r="14" spans="1:11" x14ac:dyDescent="0.2">
      <c r="A14" s="18" t="s">
        <v>1119</v>
      </c>
      <c r="B14" s="31">
        <v>0.15240000000000001</v>
      </c>
      <c r="C14" s="31">
        <v>0.16289999999999999</v>
      </c>
    </row>
    <row r="15" spans="1:11" x14ac:dyDescent="0.2">
      <c r="A15" s="18" t="s">
        <v>1120</v>
      </c>
      <c r="B15" s="31">
        <v>-8.6800000000000002E-2</v>
      </c>
      <c r="C15" s="31">
        <v>0.17050000000000001</v>
      </c>
    </row>
    <row r="16" spans="1:11" x14ac:dyDescent="0.2">
      <c r="A16" s="18" t="s">
        <v>1121</v>
      </c>
      <c r="B16" s="31">
        <v>2.98E-2</v>
      </c>
      <c r="C16" s="31">
        <v>5.7299999999999997E-2</v>
      </c>
    </row>
    <row r="18" spans="1:11" x14ac:dyDescent="0.2">
      <c r="A18" s="167" t="s">
        <v>1139</v>
      </c>
      <c r="B18" s="141"/>
      <c r="C18" s="141"/>
      <c r="D18" s="141"/>
      <c r="E18" s="141"/>
      <c r="F18" s="141"/>
      <c r="G18" s="141"/>
      <c r="H18" s="141"/>
      <c r="I18" s="141"/>
      <c r="J18" s="141"/>
      <c r="K18" s="141"/>
    </row>
    <row r="19" spans="1:11" x14ac:dyDescent="0.2">
      <c r="B19" s="45" t="s">
        <v>1112</v>
      </c>
      <c r="C19" s="45" t="s">
        <v>1113</v>
      </c>
      <c r="D19" s="45" t="s">
        <v>1114</v>
      </c>
      <c r="E19" s="45" t="s">
        <v>1115</v>
      </c>
      <c r="F19" s="45" t="s">
        <v>1116</v>
      </c>
      <c r="G19" s="45" t="s">
        <v>1117</v>
      </c>
      <c r="H19" s="45" t="s">
        <v>1118</v>
      </c>
      <c r="I19" s="45" t="s">
        <v>1119</v>
      </c>
      <c r="J19" s="45" t="s">
        <v>1120</v>
      </c>
      <c r="K19" s="45" t="s">
        <v>1121</v>
      </c>
    </row>
    <row r="20" spans="1:11" x14ac:dyDescent="0.2">
      <c r="A20" s="46" t="s">
        <v>1112</v>
      </c>
      <c r="B20" s="37">
        <v>2.3159999999999999E-3</v>
      </c>
      <c r="C20" s="33">
        <v>7.1459999999999996E-3</v>
      </c>
      <c r="D20" s="33">
        <v>2.1540000000000001E-3</v>
      </c>
      <c r="E20" s="33">
        <v>4.6379999999999998E-3</v>
      </c>
      <c r="F20" s="33">
        <v>2.3640000000000002E-3</v>
      </c>
      <c r="G20" s="33">
        <v>2.1380000000000001E-3</v>
      </c>
      <c r="H20" s="33">
        <v>5.2830000000000004E-3</v>
      </c>
      <c r="I20" s="33">
        <v>4.2139999999999999E-3</v>
      </c>
      <c r="J20" s="33">
        <v>5.2919999999999998E-3</v>
      </c>
      <c r="K20" s="33">
        <v>1.9629999999999999E-3</v>
      </c>
    </row>
    <row r="21" spans="1:11" x14ac:dyDescent="0.2">
      <c r="A21" s="46" t="s">
        <v>1113</v>
      </c>
      <c r="B21" s="33">
        <v>7.1459999999999996E-3</v>
      </c>
      <c r="C21" s="37">
        <v>0.111097</v>
      </c>
      <c r="D21" s="33">
        <v>8.2159999999999993E-3</v>
      </c>
      <c r="E21" s="33">
        <v>3.2099999999999997E-2</v>
      </c>
      <c r="F21" s="33">
        <v>1.2258E-2</v>
      </c>
      <c r="G21" s="33">
        <v>2.0331999999999999E-2</v>
      </c>
      <c r="H21" s="33">
        <v>3.7053000000000003E-2</v>
      </c>
      <c r="I21" s="33">
        <v>3.0616999999999998E-2</v>
      </c>
      <c r="J21" s="33">
        <v>3.0099999999999998E-2</v>
      </c>
      <c r="K21" s="33">
        <v>8.0319999999999992E-3</v>
      </c>
    </row>
    <row r="22" spans="1:11" x14ac:dyDescent="0.2">
      <c r="A22" s="46" t="s">
        <v>1114</v>
      </c>
      <c r="B22" s="33">
        <v>2.1540000000000001E-3</v>
      </c>
      <c r="C22" s="33">
        <v>8.2159999999999993E-3</v>
      </c>
      <c r="D22" s="37">
        <v>5.9569999999999996E-3</v>
      </c>
      <c r="E22" s="33">
        <v>9.0039999999999999E-3</v>
      </c>
      <c r="F22" s="33">
        <v>3.4199999999999999E-3</v>
      </c>
      <c r="G22" s="33">
        <v>2.761E-3</v>
      </c>
      <c r="H22" s="33">
        <v>9.5569999999999995E-3</v>
      </c>
      <c r="I22" s="33">
        <v>5.6259999999999999E-3</v>
      </c>
      <c r="J22" s="33">
        <v>8.4110000000000001E-3</v>
      </c>
      <c r="K22" s="33">
        <v>2.9350000000000001E-3</v>
      </c>
    </row>
    <row r="23" spans="1:11" x14ac:dyDescent="0.2">
      <c r="A23" s="46" t="s">
        <v>1115</v>
      </c>
      <c r="B23" s="33">
        <v>4.6379999999999998E-3</v>
      </c>
      <c r="C23" s="33">
        <v>3.2099999999999997E-2</v>
      </c>
      <c r="D23" s="33">
        <v>9.0039999999999999E-3</v>
      </c>
      <c r="E23" s="37">
        <v>3.4146999999999997E-2</v>
      </c>
      <c r="F23" s="33">
        <v>1.0808999999999999E-2</v>
      </c>
      <c r="G23" s="33">
        <v>1.2008E-2</v>
      </c>
      <c r="H23" s="33">
        <v>3.2895000000000001E-2</v>
      </c>
      <c r="I23" s="33">
        <v>2.1194999999999999E-2</v>
      </c>
      <c r="J23" s="33">
        <v>2.3703999999999999E-2</v>
      </c>
      <c r="K23" s="33">
        <v>6.7089999999999997E-3</v>
      </c>
    </row>
    <row r="24" spans="1:11" x14ac:dyDescent="0.2">
      <c r="A24" s="46" t="s">
        <v>1116</v>
      </c>
      <c r="B24" s="33">
        <v>2.3640000000000002E-3</v>
      </c>
      <c r="C24" s="33">
        <v>1.2258E-2</v>
      </c>
      <c r="D24" s="33">
        <v>3.4199999999999999E-3</v>
      </c>
      <c r="E24" s="33">
        <v>1.0808999999999999E-2</v>
      </c>
      <c r="F24" s="37">
        <v>1.7191000000000001E-2</v>
      </c>
      <c r="G24" s="33">
        <v>1.4643E-2</v>
      </c>
      <c r="H24" s="33">
        <v>1.6192000000000002E-2</v>
      </c>
      <c r="I24" s="33">
        <v>1.1106E-2</v>
      </c>
      <c r="J24" s="33">
        <v>9.443E-3</v>
      </c>
      <c r="K24" s="33">
        <v>4.9540000000000001E-3</v>
      </c>
    </row>
    <row r="25" spans="1:11" x14ac:dyDescent="0.2">
      <c r="A25" s="46" t="s">
        <v>1117</v>
      </c>
      <c r="B25" s="33">
        <v>2.1380000000000001E-3</v>
      </c>
      <c r="C25" s="33">
        <v>2.0331999999999999E-2</v>
      </c>
      <c r="D25" s="33">
        <v>2.761E-3</v>
      </c>
      <c r="E25" s="33">
        <v>1.2008E-2</v>
      </c>
      <c r="F25" s="33">
        <v>1.4643E-2</v>
      </c>
      <c r="G25" s="37">
        <v>1.9262000000000001E-2</v>
      </c>
      <c r="H25" s="33">
        <v>1.5764E-2</v>
      </c>
      <c r="I25" s="33">
        <v>1.3750999999999999E-2</v>
      </c>
      <c r="J25" s="33">
        <v>1.1577E-2</v>
      </c>
      <c r="K25" s="33">
        <v>5.0889999999999998E-3</v>
      </c>
    </row>
    <row r="26" spans="1:11" x14ac:dyDescent="0.2">
      <c r="A26" s="46" t="s">
        <v>1118</v>
      </c>
      <c r="B26" s="33">
        <v>5.2830000000000004E-3</v>
      </c>
      <c r="C26" s="33">
        <v>3.7053000000000003E-2</v>
      </c>
      <c r="D26" s="33">
        <v>9.5569999999999995E-3</v>
      </c>
      <c r="E26" s="33">
        <v>3.2895000000000001E-2</v>
      </c>
      <c r="F26" s="33">
        <v>1.6192000000000002E-2</v>
      </c>
      <c r="G26" s="33">
        <v>1.5764E-2</v>
      </c>
      <c r="H26" s="37">
        <v>3.8771E-2</v>
      </c>
      <c r="I26" s="33">
        <v>2.2512000000000001E-2</v>
      </c>
      <c r="J26" s="33">
        <v>2.3903000000000001E-2</v>
      </c>
      <c r="K26" s="33">
        <v>8.1849999999999996E-3</v>
      </c>
    </row>
    <row r="27" spans="1:11" x14ac:dyDescent="0.2">
      <c r="A27" s="46" t="s">
        <v>1119</v>
      </c>
      <c r="B27" s="33">
        <v>4.2139999999999999E-3</v>
      </c>
      <c r="C27" s="33">
        <v>3.0616999999999998E-2</v>
      </c>
      <c r="D27" s="33">
        <v>5.6259999999999999E-3</v>
      </c>
      <c r="E27" s="33">
        <v>2.1194999999999999E-2</v>
      </c>
      <c r="F27" s="33">
        <v>1.1106E-2</v>
      </c>
      <c r="G27" s="33">
        <v>1.3750999999999999E-2</v>
      </c>
      <c r="H27" s="33">
        <v>2.2512000000000001E-2</v>
      </c>
      <c r="I27" s="37">
        <v>2.6535E-2</v>
      </c>
      <c r="J27" s="33">
        <v>1.9820000000000001E-2</v>
      </c>
      <c r="K27" s="33">
        <v>6.5199999999999998E-3</v>
      </c>
    </row>
    <row r="28" spans="1:11" x14ac:dyDescent="0.2">
      <c r="A28" s="46" t="s">
        <v>1120</v>
      </c>
      <c r="B28" s="33">
        <v>5.2919999999999998E-3</v>
      </c>
      <c r="C28" s="33">
        <v>3.0099999999999998E-2</v>
      </c>
      <c r="D28" s="33">
        <v>8.4110000000000001E-3</v>
      </c>
      <c r="E28" s="33">
        <v>2.3703999999999999E-2</v>
      </c>
      <c r="F28" s="33">
        <v>9.443E-3</v>
      </c>
      <c r="G28" s="33">
        <v>1.1577E-2</v>
      </c>
      <c r="H28" s="33">
        <v>2.3903000000000001E-2</v>
      </c>
      <c r="I28" s="33">
        <v>1.9820000000000001E-2</v>
      </c>
      <c r="J28" s="37">
        <v>2.9069000000000001E-2</v>
      </c>
      <c r="K28" s="33">
        <v>7.1040000000000001E-3</v>
      </c>
    </row>
    <row r="29" spans="1:11" x14ac:dyDescent="0.2">
      <c r="A29" s="46" t="s">
        <v>1121</v>
      </c>
      <c r="B29" s="33">
        <v>1.9629999999999999E-3</v>
      </c>
      <c r="C29" s="33">
        <v>8.0319999999999992E-3</v>
      </c>
      <c r="D29" s="33">
        <v>2.9350000000000001E-3</v>
      </c>
      <c r="E29" s="33">
        <v>6.7089999999999997E-3</v>
      </c>
      <c r="F29" s="33">
        <v>4.9540000000000001E-3</v>
      </c>
      <c r="G29" s="33">
        <v>5.0889999999999998E-3</v>
      </c>
      <c r="H29" s="33">
        <v>8.1849999999999996E-3</v>
      </c>
      <c r="I29" s="33">
        <v>6.5199999999999998E-3</v>
      </c>
      <c r="J29" s="33">
        <v>7.1040000000000001E-3</v>
      </c>
      <c r="K29" s="37">
        <v>3.2880000000000001E-3</v>
      </c>
    </row>
    <row r="32" spans="1:11" x14ac:dyDescent="0.2">
      <c r="A32" s="168" t="s">
        <v>1140</v>
      </c>
      <c r="B32" s="141"/>
      <c r="C32" s="141"/>
      <c r="D32" s="141"/>
      <c r="E32" s="141"/>
      <c r="F32" s="141"/>
      <c r="G32" s="141"/>
      <c r="H32" s="141"/>
      <c r="I32" s="141"/>
      <c r="J32" s="141"/>
      <c r="K32" s="141"/>
    </row>
  </sheetData>
  <mergeCells count="4">
    <mergeCell ref="A2:K2"/>
    <mergeCell ref="A1:K1"/>
    <mergeCell ref="A18:K18"/>
    <mergeCell ref="A32:K3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84"/>
  <sheetViews>
    <sheetView workbookViewId="0"/>
  </sheetViews>
  <sheetFormatPr baseColWidth="10" defaultColWidth="8.83203125" defaultRowHeight="15" x14ac:dyDescent="0.2"/>
  <cols>
    <col min="1" max="1" width="110" customWidth="1"/>
  </cols>
  <sheetData>
    <row r="1" spans="1:1" ht="26" customHeight="1" x14ac:dyDescent="0.2">
      <c r="A1" s="47" t="s">
        <v>1141</v>
      </c>
    </row>
    <row r="2" spans="1:1" ht="32" customHeight="1" x14ac:dyDescent="0.2">
      <c r="A2" s="1" t="s">
        <v>1142</v>
      </c>
    </row>
    <row r="3" spans="1:1" x14ac:dyDescent="0.2">
      <c r="A3" s="1"/>
    </row>
    <row r="4" spans="1:1" ht="16" x14ac:dyDescent="0.2">
      <c r="A4" s="1" t="s">
        <v>1143</v>
      </c>
    </row>
    <row r="5" spans="1:1" ht="16" x14ac:dyDescent="0.2">
      <c r="A5" s="1" t="s">
        <v>1144</v>
      </c>
    </row>
    <row r="6" spans="1:1" ht="16" x14ac:dyDescent="0.2">
      <c r="A6" s="1" t="s">
        <v>1145</v>
      </c>
    </row>
    <row r="7" spans="1:1" ht="16" x14ac:dyDescent="0.2">
      <c r="A7" s="1" t="s">
        <v>1146</v>
      </c>
    </row>
    <row r="8" spans="1:1" ht="16" x14ac:dyDescent="0.2">
      <c r="A8" s="1" t="s">
        <v>1147</v>
      </c>
    </row>
    <row r="9" spans="1:1" ht="16" x14ac:dyDescent="0.2">
      <c r="A9" s="1" t="s">
        <v>1148</v>
      </c>
    </row>
    <row r="10" spans="1:1" ht="16" x14ac:dyDescent="0.2">
      <c r="A10" s="1" t="s">
        <v>1149</v>
      </c>
    </row>
    <row r="11" spans="1:1" ht="16" x14ac:dyDescent="0.2">
      <c r="A11" s="1" t="s">
        <v>1150</v>
      </c>
    </row>
    <row r="12" spans="1:1" ht="32" customHeight="1" x14ac:dyDescent="0.2">
      <c r="A12" s="1" t="s">
        <v>1151</v>
      </c>
    </row>
    <row r="13" spans="1:1" x14ac:dyDescent="0.2">
      <c r="A13" s="1"/>
    </row>
    <row r="14" spans="1:1" ht="32" customHeight="1" x14ac:dyDescent="0.2">
      <c r="A14" s="1" t="s">
        <v>1152</v>
      </c>
    </row>
    <row r="15" spans="1:1" ht="16" x14ac:dyDescent="0.2">
      <c r="A15" s="1" t="s">
        <v>1153</v>
      </c>
    </row>
    <row r="17" spans="1:1" ht="26" customHeight="1" x14ac:dyDescent="0.2">
      <c r="A17" s="47" t="s">
        <v>1154</v>
      </c>
    </row>
    <row r="18" spans="1:1" ht="32" customHeight="1" x14ac:dyDescent="0.2">
      <c r="A18" s="1" t="s">
        <v>1155</v>
      </c>
    </row>
    <row r="19" spans="1:1" x14ac:dyDescent="0.2">
      <c r="A19" s="1"/>
    </row>
    <row r="20" spans="1:1" ht="16" x14ac:dyDescent="0.2">
      <c r="A20" s="1" t="s">
        <v>1156</v>
      </c>
    </row>
    <row r="21" spans="1:1" ht="46" customHeight="1" x14ac:dyDescent="0.2">
      <c r="A21" s="1" t="s">
        <v>1157</v>
      </c>
    </row>
    <row r="22" spans="1:1" ht="32" customHeight="1" x14ac:dyDescent="0.2">
      <c r="A22" s="1" t="s">
        <v>1158</v>
      </c>
    </row>
    <row r="23" spans="1:1" ht="46" customHeight="1" x14ac:dyDescent="0.2">
      <c r="A23" s="1" t="s">
        <v>1159</v>
      </c>
    </row>
    <row r="24" spans="1:1" ht="32" customHeight="1" x14ac:dyDescent="0.2">
      <c r="A24" s="1" t="s">
        <v>1160</v>
      </c>
    </row>
    <row r="25" spans="1:1" x14ac:dyDescent="0.2">
      <c r="A25" s="1"/>
    </row>
    <row r="26" spans="1:1" ht="16" x14ac:dyDescent="0.2">
      <c r="A26" s="1" t="s">
        <v>1161</v>
      </c>
    </row>
    <row r="27" spans="1:1" ht="46" customHeight="1" x14ac:dyDescent="0.2">
      <c r="A27" s="1" t="s">
        <v>1162</v>
      </c>
    </row>
    <row r="28" spans="1:1" ht="32" customHeight="1" x14ac:dyDescent="0.2">
      <c r="A28" s="1" t="s">
        <v>1163</v>
      </c>
    </row>
    <row r="29" spans="1:1" ht="32" customHeight="1" x14ac:dyDescent="0.2">
      <c r="A29" s="1" t="s">
        <v>1164</v>
      </c>
    </row>
    <row r="31" spans="1:1" ht="26" customHeight="1" x14ac:dyDescent="0.2">
      <c r="A31" s="47" t="s">
        <v>1165</v>
      </c>
    </row>
    <row r="32" spans="1:1" ht="46" customHeight="1" x14ac:dyDescent="0.2">
      <c r="A32" s="1" t="s">
        <v>1166</v>
      </c>
    </row>
    <row r="33" spans="1:1" x14ac:dyDescent="0.2">
      <c r="A33" s="1"/>
    </row>
    <row r="34" spans="1:1" ht="16" x14ac:dyDescent="0.2">
      <c r="A34" s="1" t="s">
        <v>1167</v>
      </c>
    </row>
    <row r="35" spans="1:1" ht="16" x14ac:dyDescent="0.2">
      <c r="A35" s="1" t="s">
        <v>1168</v>
      </c>
    </row>
    <row r="36" spans="1:1" ht="16" x14ac:dyDescent="0.2">
      <c r="A36" s="1" t="s">
        <v>1169</v>
      </c>
    </row>
    <row r="37" spans="1:1" x14ac:dyDescent="0.2">
      <c r="A37" s="1"/>
    </row>
    <row r="38" spans="1:1" ht="32" customHeight="1" x14ac:dyDescent="0.2">
      <c r="A38" s="1" t="s">
        <v>1170</v>
      </c>
    </row>
    <row r="39" spans="1:1" x14ac:dyDescent="0.2">
      <c r="A39" s="1"/>
    </row>
    <row r="40" spans="1:1" ht="16" x14ac:dyDescent="0.2">
      <c r="A40" s="1" t="s">
        <v>1171</v>
      </c>
    </row>
    <row r="41" spans="1:1" ht="16" x14ac:dyDescent="0.2">
      <c r="A41" s="1" t="s">
        <v>1172</v>
      </c>
    </row>
    <row r="42" spans="1:1" ht="16" x14ac:dyDescent="0.2">
      <c r="A42" s="1" t="s">
        <v>1173</v>
      </c>
    </row>
    <row r="43" spans="1:1" ht="16" x14ac:dyDescent="0.2">
      <c r="A43" s="1" t="s">
        <v>1174</v>
      </c>
    </row>
    <row r="44" spans="1:1" ht="16" x14ac:dyDescent="0.2">
      <c r="A44" s="1" t="s">
        <v>1175</v>
      </c>
    </row>
    <row r="45" spans="1:1" ht="16" x14ac:dyDescent="0.2">
      <c r="A45" s="1" t="s">
        <v>1176</v>
      </c>
    </row>
    <row r="46" spans="1:1" ht="16" x14ac:dyDescent="0.2">
      <c r="A46" s="1" t="s">
        <v>1177</v>
      </c>
    </row>
    <row r="47" spans="1:1" ht="16" x14ac:dyDescent="0.2">
      <c r="A47" s="1" t="s">
        <v>1178</v>
      </c>
    </row>
    <row r="48" spans="1:1" ht="16" x14ac:dyDescent="0.2">
      <c r="A48" s="1" t="s">
        <v>1179</v>
      </c>
    </row>
    <row r="49" spans="1:1" ht="16" x14ac:dyDescent="0.2">
      <c r="A49" s="1" t="s">
        <v>1180</v>
      </c>
    </row>
    <row r="50" spans="1:1" ht="16" x14ac:dyDescent="0.2">
      <c r="A50" s="1" t="s">
        <v>1181</v>
      </c>
    </row>
    <row r="51" spans="1:1" x14ac:dyDescent="0.2">
      <c r="A51" s="1"/>
    </row>
    <row r="52" spans="1:1" ht="46" customHeight="1" x14ac:dyDescent="0.2">
      <c r="A52" s="1" t="s">
        <v>1182</v>
      </c>
    </row>
    <row r="54" spans="1:1" ht="26" customHeight="1" x14ac:dyDescent="0.2">
      <c r="A54" s="47" t="s">
        <v>1183</v>
      </c>
    </row>
    <row r="55" spans="1:1" ht="16" x14ac:dyDescent="0.2">
      <c r="A55" s="1" t="s">
        <v>1184</v>
      </c>
    </row>
    <row r="56" spans="1:1" x14ac:dyDescent="0.2">
      <c r="A56" s="1"/>
    </row>
    <row r="57" spans="1:1" ht="16" x14ac:dyDescent="0.2">
      <c r="A57" s="1" t="s">
        <v>1185</v>
      </c>
    </row>
    <row r="58" spans="1:1" x14ac:dyDescent="0.2">
      <c r="A58" s="1"/>
    </row>
    <row r="59" spans="1:1" ht="16" x14ac:dyDescent="0.2">
      <c r="A59" s="1" t="s">
        <v>1186</v>
      </c>
    </row>
    <row r="60" spans="1:1" ht="16" x14ac:dyDescent="0.2">
      <c r="A60" s="1" t="s">
        <v>1187</v>
      </c>
    </row>
    <row r="61" spans="1:1" ht="16" x14ac:dyDescent="0.2">
      <c r="A61" s="1" t="s">
        <v>1188</v>
      </c>
    </row>
    <row r="62" spans="1:1" ht="16" x14ac:dyDescent="0.2">
      <c r="A62" s="1" t="s">
        <v>1189</v>
      </c>
    </row>
    <row r="63" spans="1:1" x14ac:dyDescent="0.2">
      <c r="A63" s="1"/>
    </row>
    <row r="64" spans="1:1" ht="16" x14ac:dyDescent="0.2">
      <c r="A64" s="1" t="s">
        <v>1190</v>
      </c>
    </row>
    <row r="65" spans="1:1" ht="32" customHeight="1" x14ac:dyDescent="0.2">
      <c r="A65" s="1" t="s">
        <v>1191</v>
      </c>
    </row>
    <row r="66" spans="1:1" ht="16" x14ac:dyDescent="0.2">
      <c r="A66" s="1" t="s">
        <v>1192</v>
      </c>
    </row>
    <row r="67" spans="1:1" x14ac:dyDescent="0.2">
      <c r="A67" s="1"/>
    </row>
    <row r="68" spans="1:1" ht="46" customHeight="1" x14ac:dyDescent="0.2">
      <c r="A68" s="1" t="s">
        <v>1193</v>
      </c>
    </row>
    <row r="69" spans="1:1" x14ac:dyDescent="0.2">
      <c r="A69" s="1"/>
    </row>
    <row r="70" spans="1:1" ht="46" customHeight="1" x14ac:dyDescent="0.2">
      <c r="A70" s="1" t="s">
        <v>1194</v>
      </c>
    </row>
    <row r="72" spans="1:1" ht="26" customHeight="1" x14ac:dyDescent="0.2">
      <c r="A72" s="47" t="s">
        <v>1195</v>
      </c>
    </row>
    <row r="73" spans="1:1" ht="46" customHeight="1" x14ac:dyDescent="0.2">
      <c r="A73" s="1" t="s">
        <v>1196</v>
      </c>
    </row>
    <row r="74" spans="1:1" ht="46" customHeight="1" x14ac:dyDescent="0.2">
      <c r="A74" s="1" t="s">
        <v>1197</v>
      </c>
    </row>
    <row r="75" spans="1:1" ht="46" customHeight="1" x14ac:dyDescent="0.2">
      <c r="A75" s="1" t="s">
        <v>1198</v>
      </c>
    </row>
    <row r="77" spans="1:1" ht="26" customHeight="1" x14ac:dyDescent="0.2">
      <c r="A77" s="47" t="s">
        <v>1199</v>
      </c>
    </row>
    <row r="78" spans="1:1" ht="32" customHeight="1" x14ac:dyDescent="0.2">
      <c r="A78" s="1" t="s">
        <v>1200</v>
      </c>
    </row>
    <row r="79" spans="1:1" ht="16" x14ac:dyDescent="0.2">
      <c r="A79" s="1" t="s">
        <v>1201</v>
      </c>
    </row>
    <row r="80" spans="1:1" ht="32" customHeight="1" x14ac:dyDescent="0.2">
      <c r="A80" s="1" t="s">
        <v>1202</v>
      </c>
    </row>
    <row r="81" spans="1:1" ht="32" customHeight="1" x14ac:dyDescent="0.2">
      <c r="A81" s="1" t="s">
        <v>1203</v>
      </c>
    </row>
    <row r="82" spans="1:1" ht="32" customHeight="1" x14ac:dyDescent="0.2">
      <c r="A82" s="1" t="s">
        <v>1204</v>
      </c>
    </row>
    <row r="83" spans="1:1" ht="16" x14ac:dyDescent="0.2">
      <c r="A83" s="1" t="s">
        <v>1205</v>
      </c>
    </row>
    <row r="84" spans="1:1" ht="32" customHeight="1" x14ac:dyDescent="0.2">
      <c r="A84" s="1" t="s">
        <v>1206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C104"/>
  <sheetViews>
    <sheetView workbookViewId="0">
      <selection sqref="A1:C1"/>
    </sheetView>
  </sheetViews>
  <sheetFormatPr baseColWidth="10" defaultColWidth="8.83203125" defaultRowHeight="15" x14ac:dyDescent="0.2"/>
  <cols>
    <col min="1" max="3" width="10" customWidth="1"/>
  </cols>
  <sheetData>
    <row r="1" spans="1:3" ht="26" customHeight="1" x14ac:dyDescent="0.2">
      <c r="A1" s="155" t="s">
        <v>1207</v>
      </c>
      <c r="B1" s="141"/>
      <c r="C1" s="141"/>
    </row>
    <row r="2" spans="1:3" ht="30" customHeight="1" x14ac:dyDescent="0.2">
      <c r="A2" s="145" t="s">
        <v>1208</v>
      </c>
      <c r="B2" s="141"/>
      <c r="C2" s="141"/>
    </row>
    <row r="4" spans="1:3" ht="16" x14ac:dyDescent="0.2">
      <c r="A4" s="3" t="s">
        <v>6</v>
      </c>
      <c r="B4" s="3" t="s">
        <v>1101</v>
      </c>
      <c r="C4" s="3" t="s">
        <v>1102</v>
      </c>
    </row>
    <row r="5" spans="1:3" ht="16" x14ac:dyDescent="0.2">
      <c r="A5" s="48" t="s">
        <v>21</v>
      </c>
      <c r="B5" s="7">
        <v>1</v>
      </c>
      <c r="C5" s="7">
        <v>9</v>
      </c>
    </row>
    <row r="6" spans="1:3" ht="16" x14ac:dyDescent="0.2">
      <c r="A6" s="48" t="s">
        <v>39</v>
      </c>
      <c r="B6" s="7">
        <v>1</v>
      </c>
      <c r="C6" s="7">
        <v>9</v>
      </c>
    </row>
    <row r="7" spans="1:3" ht="16" x14ac:dyDescent="0.2">
      <c r="A7" s="48" t="s">
        <v>51</v>
      </c>
      <c r="B7" s="7">
        <v>1</v>
      </c>
      <c r="C7" s="7">
        <v>9</v>
      </c>
    </row>
    <row r="8" spans="1:3" ht="16" x14ac:dyDescent="0.2">
      <c r="A8" s="48" t="s">
        <v>63</v>
      </c>
      <c r="B8" s="7">
        <v>1.5</v>
      </c>
      <c r="C8" s="7">
        <v>9</v>
      </c>
    </row>
    <row r="9" spans="1:3" ht="16" x14ac:dyDescent="0.2">
      <c r="A9" s="48" t="s">
        <v>73</v>
      </c>
      <c r="B9" s="7">
        <v>1</v>
      </c>
      <c r="C9" s="7">
        <v>9</v>
      </c>
    </row>
    <row r="10" spans="1:3" ht="16" x14ac:dyDescent="0.2">
      <c r="A10" s="48" t="s">
        <v>85</v>
      </c>
      <c r="B10" s="7">
        <v>1</v>
      </c>
      <c r="C10" s="7">
        <v>8</v>
      </c>
    </row>
    <row r="11" spans="1:3" ht="16" x14ac:dyDescent="0.2">
      <c r="A11" s="48" t="s">
        <v>95</v>
      </c>
      <c r="B11" s="7">
        <v>1</v>
      </c>
      <c r="C11" s="7">
        <v>8</v>
      </c>
    </row>
    <row r="12" spans="1:3" ht="16" x14ac:dyDescent="0.2">
      <c r="A12" s="48" t="s">
        <v>105</v>
      </c>
      <c r="B12" s="7">
        <v>1</v>
      </c>
      <c r="C12" s="7">
        <v>9</v>
      </c>
    </row>
    <row r="13" spans="1:3" ht="16" x14ac:dyDescent="0.2">
      <c r="A13" s="48" t="s">
        <v>117</v>
      </c>
      <c r="B13" s="7">
        <v>1</v>
      </c>
      <c r="C13" s="7">
        <v>8</v>
      </c>
    </row>
    <row r="14" spans="1:3" ht="16" x14ac:dyDescent="0.2">
      <c r="A14" s="48" t="s">
        <v>127</v>
      </c>
      <c r="B14" s="7">
        <v>1</v>
      </c>
      <c r="C14" s="7">
        <v>8</v>
      </c>
    </row>
    <row r="15" spans="1:3" ht="16" x14ac:dyDescent="0.2">
      <c r="A15" s="48" t="s">
        <v>137</v>
      </c>
      <c r="B15" s="7">
        <v>2</v>
      </c>
      <c r="C15" s="7">
        <v>9</v>
      </c>
    </row>
    <row r="16" spans="1:3" ht="16" x14ac:dyDescent="0.2">
      <c r="A16" s="48" t="s">
        <v>150</v>
      </c>
      <c r="B16" s="7">
        <v>1</v>
      </c>
      <c r="C16" s="7">
        <v>8</v>
      </c>
    </row>
    <row r="17" spans="1:3" ht="16" x14ac:dyDescent="0.2">
      <c r="A17" s="48" t="s">
        <v>162</v>
      </c>
      <c r="B17" s="7">
        <v>1.5</v>
      </c>
      <c r="C17" s="7">
        <v>8</v>
      </c>
    </row>
    <row r="18" spans="1:3" ht="16" x14ac:dyDescent="0.2">
      <c r="A18" s="48" t="s">
        <v>174</v>
      </c>
      <c r="B18" s="7">
        <v>1</v>
      </c>
      <c r="C18" s="7">
        <v>8</v>
      </c>
    </row>
    <row r="19" spans="1:3" ht="16" x14ac:dyDescent="0.2">
      <c r="A19" s="48" t="s">
        <v>186</v>
      </c>
      <c r="B19" s="7">
        <v>1.5</v>
      </c>
      <c r="C19" s="7">
        <v>8</v>
      </c>
    </row>
    <row r="20" spans="1:3" ht="16" x14ac:dyDescent="0.2">
      <c r="A20" s="48" t="s">
        <v>198</v>
      </c>
      <c r="B20" s="7">
        <v>1</v>
      </c>
      <c r="C20" s="7">
        <v>8</v>
      </c>
    </row>
    <row r="21" spans="1:3" ht="16" x14ac:dyDescent="0.2">
      <c r="A21" s="48" t="s">
        <v>210</v>
      </c>
      <c r="B21" s="7">
        <v>1.5</v>
      </c>
      <c r="C21" s="7">
        <v>9</v>
      </c>
    </row>
    <row r="22" spans="1:3" ht="16" x14ac:dyDescent="0.2">
      <c r="A22" s="48" t="s">
        <v>222</v>
      </c>
      <c r="B22" s="7">
        <v>1</v>
      </c>
      <c r="C22" s="7">
        <v>9</v>
      </c>
    </row>
    <row r="23" spans="1:3" ht="16" x14ac:dyDescent="0.2">
      <c r="A23" s="48" t="s">
        <v>232</v>
      </c>
      <c r="B23" s="7">
        <v>2</v>
      </c>
      <c r="C23" s="7">
        <v>7</v>
      </c>
    </row>
    <row r="24" spans="1:3" ht="16" x14ac:dyDescent="0.2">
      <c r="A24" s="48" t="s">
        <v>242</v>
      </c>
      <c r="B24" s="7">
        <v>2</v>
      </c>
      <c r="C24" s="7">
        <v>9</v>
      </c>
    </row>
    <row r="25" spans="1:3" ht="16" x14ac:dyDescent="0.2">
      <c r="A25" s="48" t="s">
        <v>252</v>
      </c>
      <c r="B25" s="7">
        <v>2</v>
      </c>
      <c r="C25" s="7">
        <v>9</v>
      </c>
    </row>
    <row r="26" spans="1:3" ht="16" x14ac:dyDescent="0.2">
      <c r="A26" s="48" t="s">
        <v>263</v>
      </c>
      <c r="B26" s="7">
        <v>1</v>
      </c>
      <c r="C26" s="7">
        <v>9</v>
      </c>
    </row>
    <row r="27" spans="1:3" ht="16" x14ac:dyDescent="0.2">
      <c r="A27" s="48" t="s">
        <v>273</v>
      </c>
      <c r="B27" s="7">
        <v>2</v>
      </c>
      <c r="C27" s="7">
        <v>8</v>
      </c>
    </row>
    <row r="28" spans="1:3" ht="16" x14ac:dyDescent="0.2">
      <c r="A28" s="48" t="s">
        <v>283</v>
      </c>
      <c r="B28" s="7">
        <v>2</v>
      </c>
      <c r="C28" s="7">
        <v>8</v>
      </c>
    </row>
    <row r="29" spans="1:3" ht="16" x14ac:dyDescent="0.2">
      <c r="A29" s="48" t="s">
        <v>293</v>
      </c>
      <c r="B29" s="7">
        <v>1</v>
      </c>
      <c r="C29" s="7">
        <v>8</v>
      </c>
    </row>
    <row r="30" spans="1:3" ht="16" x14ac:dyDescent="0.2">
      <c r="A30" s="48" t="s">
        <v>303</v>
      </c>
      <c r="B30" s="7">
        <v>1</v>
      </c>
      <c r="C30" s="7">
        <v>9</v>
      </c>
    </row>
    <row r="31" spans="1:3" ht="16" x14ac:dyDescent="0.2">
      <c r="A31" s="48" t="s">
        <v>315</v>
      </c>
      <c r="B31" s="7">
        <v>1</v>
      </c>
      <c r="C31" s="7">
        <v>9</v>
      </c>
    </row>
    <row r="32" spans="1:3" ht="16" x14ac:dyDescent="0.2">
      <c r="A32" s="48" t="s">
        <v>327</v>
      </c>
      <c r="B32" s="7">
        <v>1</v>
      </c>
      <c r="C32" s="7">
        <v>8</v>
      </c>
    </row>
    <row r="33" spans="1:3" ht="16" x14ac:dyDescent="0.2">
      <c r="A33" s="48" t="s">
        <v>337</v>
      </c>
      <c r="B33" s="7">
        <v>2</v>
      </c>
      <c r="C33" s="7">
        <v>8</v>
      </c>
    </row>
    <row r="34" spans="1:3" ht="16" x14ac:dyDescent="0.2">
      <c r="A34" s="48" t="s">
        <v>347</v>
      </c>
      <c r="B34" s="7">
        <v>2</v>
      </c>
      <c r="C34" s="7">
        <v>7</v>
      </c>
    </row>
    <row r="35" spans="1:3" ht="16" x14ac:dyDescent="0.2">
      <c r="A35" s="48" t="s">
        <v>359</v>
      </c>
      <c r="B35" s="7">
        <v>1.5</v>
      </c>
      <c r="C35" s="7">
        <v>9</v>
      </c>
    </row>
    <row r="36" spans="1:3" ht="16" x14ac:dyDescent="0.2">
      <c r="A36" s="48" t="s">
        <v>372</v>
      </c>
      <c r="B36" s="7">
        <v>1.5</v>
      </c>
      <c r="C36" s="7">
        <v>6</v>
      </c>
    </row>
    <row r="37" spans="1:3" ht="16" x14ac:dyDescent="0.2">
      <c r="A37" s="48" t="s">
        <v>382</v>
      </c>
      <c r="B37" s="7">
        <v>1.5</v>
      </c>
      <c r="C37" s="7">
        <v>8</v>
      </c>
    </row>
    <row r="38" spans="1:3" ht="16" x14ac:dyDescent="0.2">
      <c r="A38" s="48" t="s">
        <v>392</v>
      </c>
      <c r="B38" s="7">
        <v>1</v>
      </c>
      <c r="C38" s="7">
        <v>7</v>
      </c>
    </row>
    <row r="39" spans="1:3" ht="16" x14ac:dyDescent="0.2">
      <c r="A39" s="48" t="s">
        <v>404</v>
      </c>
      <c r="B39" s="7">
        <v>1</v>
      </c>
      <c r="C39" s="7">
        <v>7</v>
      </c>
    </row>
    <row r="40" spans="1:3" ht="16" x14ac:dyDescent="0.2">
      <c r="A40" s="48" t="s">
        <v>414</v>
      </c>
      <c r="B40" s="7">
        <v>1</v>
      </c>
      <c r="C40" s="7">
        <v>7</v>
      </c>
    </row>
    <row r="41" spans="1:3" ht="16" x14ac:dyDescent="0.2">
      <c r="A41" s="48" t="s">
        <v>424</v>
      </c>
      <c r="B41" s="7">
        <v>2</v>
      </c>
      <c r="C41" s="7">
        <v>6</v>
      </c>
    </row>
    <row r="42" spans="1:3" ht="16" x14ac:dyDescent="0.2">
      <c r="A42" s="48" t="s">
        <v>434</v>
      </c>
      <c r="B42" s="7">
        <v>2</v>
      </c>
      <c r="C42" s="7">
        <v>9</v>
      </c>
    </row>
    <row r="43" spans="1:3" ht="16" x14ac:dyDescent="0.2">
      <c r="A43" s="48" t="s">
        <v>444</v>
      </c>
      <c r="B43" s="7">
        <v>1.5</v>
      </c>
      <c r="C43" s="7">
        <v>9</v>
      </c>
    </row>
    <row r="44" spans="1:3" ht="16" x14ac:dyDescent="0.2">
      <c r="A44" s="48" t="s">
        <v>454</v>
      </c>
      <c r="B44" s="7">
        <v>1</v>
      </c>
      <c r="C44" s="7">
        <v>9</v>
      </c>
    </row>
    <row r="45" spans="1:3" ht="16" x14ac:dyDescent="0.2">
      <c r="A45" s="48" t="s">
        <v>466</v>
      </c>
      <c r="B45" s="7">
        <v>1.5</v>
      </c>
      <c r="C45" s="7">
        <v>8</v>
      </c>
    </row>
    <row r="46" spans="1:3" ht="16" x14ac:dyDescent="0.2">
      <c r="A46" s="48" t="s">
        <v>477</v>
      </c>
      <c r="B46" s="7">
        <v>1</v>
      </c>
      <c r="C46" s="7">
        <v>8</v>
      </c>
    </row>
    <row r="47" spans="1:3" ht="16" x14ac:dyDescent="0.2">
      <c r="A47" s="48" t="s">
        <v>489</v>
      </c>
      <c r="B47" s="7">
        <v>1</v>
      </c>
      <c r="C47" s="7">
        <v>8</v>
      </c>
    </row>
    <row r="48" spans="1:3" ht="16" x14ac:dyDescent="0.2">
      <c r="A48" s="48" t="s">
        <v>501</v>
      </c>
      <c r="B48" s="7">
        <v>1.5</v>
      </c>
      <c r="C48" s="7">
        <v>8</v>
      </c>
    </row>
    <row r="49" spans="1:3" ht="16" x14ac:dyDescent="0.2">
      <c r="A49" s="48" t="s">
        <v>511</v>
      </c>
      <c r="B49" s="7">
        <v>1</v>
      </c>
      <c r="C49" s="7">
        <v>8</v>
      </c>
    </row>
    <row r="50" spans="1:3" ht="16" x14ac:dyDescent="0.2">
      <c r="A50" s="48" t="s">
        <v>521</v>
      </c>
      <c r="B50" s="7">
        <v>1</v>
      </c>
      <c r="C50" s="7">
        <v>7</v>
      </c>
    </row>
    <row r="51" spans="1:3" ht="16" x14ac:dyDescent="0.2">
      <c r="A51" s="48" t="s">
        <v>531</v>
      </c>
      <c r="B51" s="7">
        <v>1.5</v>
      </c>
      <c r="C51" s="7">
        <v>8</v>
      </c>
    </row>
    <row r="52" spans="1:3" ht="16" x14ac:dyDescent="0.2">
      <c r="A52" s="48" t="s">
        <v>541</v>
      </c>
      <c r="B52" s="7">
        <v>1</v>
      </c>
      <c r="C52" s="7">
        <v>7</v>
      </c>
    </row>
    <row r="53" spans="1:3" ht="16" x14ac:dyDescent="0.2">
      <c r="A53" s="48" t="s">
        <v>551</v>
      </c>
      <c r="B53" s="7">
        <v>1</v>
      </c>
      <c r="C53" s="7">
        <v>7</v>
      </c>
    </row>
    <row r="54" spans="1:3" ht="16" x14ac:dyDescent="0.2">
      <c r="A54" s="48" t="s">
        <v>561</v>
      </c>
      <c r="B54" s="7">
        <v>2</v>
      </c>
      <c r="C54" s="7">
        <v>8</v>
      </c>
    </row>
    <row r="55" spans="1:3" ht="16" x14ac:dyDescent="0.2">
      <c r="A55" s="48" t="s">
        <v>571</v>
      </c>
      <c r="B55" s="7">
        <v>1</v>
      </c>
      <c r="C55" s="7">
        <v>8</v>
      </c>
    </row>
    <row r="56" spans="1:3" ht="16" x14ac:dyDescent="0.2">
      <c r="A56" s="48" t="s">
        <v>582</v>
      </c>
      <c r="B56" s="7">
        <v>2</v>
      </c>
      <c r="C56" s="7">
        <v>9</v>
      </c>
    </row>
    <row r="57" spans="1:3" ht="16" x14ac:dyDescent="0.2">
      <c r="A57" s="48" t="s">
        <v>592</v>
      </c>
      <c r="B57" s="7">
        <v>1</v>
      </c>
      <c r="C57" s="7">
        <v>8</v>
      </c>
    </row>
    <row r="58" spans="1:3" ht="16" x14ac:dyDescent="0.2">
      <c r="A58" s="48" t="s">
        <v>602</v>
      </c>
      <c r="B58" s="7">
        <v>1</v>
      </c>
      <c r="C58" s="7">
        <v>8</v>
      </c>
    </row>
    <row r="59" spans="1:3" ht="16" x14ac:dyDescent="0.2">
      <c r="A59" s="48" t="s">
        <v>614</v>
      </c>
      <c r="B59" s="7">
        <v>1</v>
      </c>
      <c r="C59" s="7">
        <v>8</v>
      </c>
    </row>
    <row r="60" spans="1:3" ht="16" x14ac:dyDescent="0.2">
      <c r="A60" s="48" t="s">
        <v>624</v>
      </c>
      <c r="B60" s="7">
        <v>1.5</v>
      </c>
      <c r="C60" s="7">
        <v>8</v>
      </c>
    </row>
    <row r="61" spans="1:3" ht="16" x14ac:dyDescent="0.2">
      <c r="A61" s="48" t="s">
        <v>634</v>
      </c>
      <c r="B61" s="7">
        <v>1</v>
      </c>
      <c r="C61" s="7">
        <v>6</v>
      </c>
    </row>
    <row r="62" spans="1:3" ht="16" x14ac:dyDescent="0.2">
      <c r="A62" s="48" t="s">
        <v>644</v>
      </c>
      <c r="B62" s="7">
        <v>2</v>
      </c>
      <c r="C62" s="7">
        <v>8</v>
      </c>
    </row>
    <row r="63" spans="1:3" ht="16" x14ac:dyDescent="0.2">
      <c r="A63" s="48" t="s">
        <v>654</v>
      </c>
      <c r="B63" s="7">
        <v>1</v>
      </c>
      <c r="C63" s="7">
        <v>7</v>
      </c>
    </row>
    <row r="64" spans="1:3" ht="16" x14ac:dyDescent="0.2">
      <c r="A64" s="48" t="s">
        <v>664</v>
      </c>
      <c r="B64" s="7">
        <v>1</v>
      </c>
      <c r="C64" s="7">
        <v>7</v>
      </c>
    </row>
    <row r="65" spans="1:3" ht="16" x14ac:dyDescent="0.2">
      <c r="A65" s="48" t="s">
        <v>674</v>
      </c>
      <c r="B65" s="7">
        <v>2.5</v>
      </c>
      <c r="C65" s="7">
        <v>8</v>
      </c>
    </row>
    <row r="66" spans="1:3" ht="16" x14ac:dyDescent="0.2">
      <c r="A66" s="48" t="s">
        <v>683</v>
      </c>
      <c r="B66" s="7">
        <v>2</v>
      </c>
      <c r="C66" s="7">
        <v>8</v>
      </c>
    </row>
    <row r="67" spans="1:3" ht="16" x14ac:dyDescent="0.2">
      <c r="A67" s="48" t="s">
        <v>694</v>
      </c>
      <c r="B67" s="7">
        <v>2</v>
      </c>
      <c r="C67" s="7">
        <v>7</v>
      </c>
    </row>
    <row r="68" spans="1:3" ht="16" x14ac:dyDescent="0.2">
      <c r="A68" s="48" t="s">
        <v>704</v>
      </c>
      <c r="B68" s="7">
        <v>1</v>
      </c>
      <c r="C68" s="7">
        <v>8</v>
      </c>
    </row>
    <row r="69" spans="1:3" ht="16" x14ac:dyDescent="0.2">
      <c r="A69" s="48" t="s">
        <v>716</v>
      </c>
      <c r="B69" s="7">
        <v>2</v>
      </c>
      <c r="C69" s="7">
        <v>7</v>
      </c>
    </row>
    <row r="70" spans="1:3" ht="16" x14ac:dyDescent="0.2">
      <c r="A70" s="48" t="s">
        <v>728</v>
      </c>
      <c r="B70" s="7">
        <v>1.5</v>
      </c>
      <c r="C70" s="7">
        <v>8</v>
      </c>
    </row>
    <row r="71" spans="1:3" ht="16" x14ac:dyDescent="0.2">
      <c r="A71" s="48" t="s">
        <v>738</v>
      </c>
      <c r="B71" s="7">
        <v>1.5</v>
      </c>
      <c r="C71" s="7">
        <v>6</v>
      </c>
    </row>
    <row r="72" spans="1:3" ht="16" x14ac:dyDescent="0.2">
      <c r="A72" s="48" t="s">
        <v>748</v>
      </c>
      <c r="B72" s="7">
        <v>1.5</v>
      </c>
      <c r="C72" s="7">
        <v>7</v>
      </c>
    </row>
    <row r="73" spans="1:3" ht="16" x14ac:dyDescent="0.2">
      <c r="A73" s="48" t="s">
        <v>758</v>
      </c>
      <c r="B73" s="7">
        <v>1.5</v>
      </c>
      <c r="C73" s="7">
        <v>5</v>
      </c>
    </row>
    <row r="74" spans="1:3" ht="16" x14ac:dyDescent="0.2">
      <c r="A74" s="48" t="s">
        <v>768</v>
      </c>
      <c r="B74" s="7">
        <v>2</v>
      </c>
      <c r="C74" s="7">
        <v>7</v>
      </c>
    </row>
    <row r="75" spans="1:3" ht="16" x14ac:dyDescent="0.2">
      <c r="A75" s="48" t="s">
        <v>778</v>
      </c>
      <c r="B75" s="7">
        <v>1</v>
      </c>
      <c r="C75" s="7">
        <v>8</v>
      </c>
    </row>
    <row r="76" spans="1:3" ht="16" x14ac:dyDescent="0.2">
      <c r="A76" s="48" t="s">
        <v>791</v>
      </c>
      <c r="B76" s="7">
        <v>1.5</v>
      </c>
      <c r="C76" s="7">
        <v>7</v>
      </c>
    </row>
    <row r="77" spans="1:3" ht="16" x14ac:dyDescent="0.2">
      <c r="A77" s="48" t="s">
        <v>801</v>
      </c>
      <c r="B77" s="7">
        <v>2</v>
      </c>
      <c r="C77" s="7">
        <v>7</v>
      </c>
    </row>
    <row r="78" spans="1:3" ht="16" x14ac:dyDescent="0.2">
      <c r="A78" s="48" t="s">
        <v>811</v>
      </c>
      <c r="B78" s="7">
        <v>2</v>
      </c>
      <c r="C78" s="7">
        <v>5</v>
      </c>
    </row>
    <row r="79" spans="1:3" ht="16" x14ac:dyDescent="0.2">
      <c r="A79" s="48" t="s">
        <v>821</v>
      </c>
      <c r="B79" s="7">
        <v>1</v>
      </c>
      <c r="C79" s="7">
        <v>9</v>
      </c>
    </row>
    <row r="80" spans="1:3" ht="16" x14ac:dyDescent="0.2">
      <c r="A80" s="48" t="s">
        <v>833</v>
      </c>
      <c r="B80" s="7">
        <v>1.5</v>
      </c>
      <c r="C80" s="7">
        <v>8</v>
      </c>
    </row>
    <row r="81" spans="1:3" ht="16" x14ac:dyDescent="0.2">
      <c r="A81" s="48" t="s">
        <v>843</v>
      </c>
      <c r="B81" s="7">
        <v>1.5</v>
      </c>
      <c r="C81" s="7">
        <v>5</v>
      </c>
    </row>
    <row r="82" spans="1:3" ht="16" x14ac:dyDescent="0.2">
      <c r="A82" s="48" t="s">
        <v>853</v>
      </c>
      <c r="B82" s="7">
        <v>2</v>
      </c>
      <c r="C82" s="7">
        <v>8</v>
      </c>
    </row>
    <row r="83" spans="1:3" ht="16" x14ac:dyDescent="0.2">
      <c r="A83" s="48" t="s">
        <v>863</v>
      </c>
      <c r="B83" s="7">
        <v>1.5</v>
      </c>
      <c r="C83" s="7">
        <v>8</v>
      </c>
    </row>
    <row r="84" spans="1:3" ht="16" x14ac:dyDescent="0.2">
      <c r="A84" s="48" t="s">
        <v>873</v>
      </c>
      <c r="B84" s="7">
        <v>1.5</v>
      </c>
      <c r="C84" s="7">
        <v>9</v>
      </c>
    </row>
    <row r="85" spans="1:3" ht="16" x14ac:dyDescent="0.2">
      <c r="A85" s="48" t="s">
        <v>883</v>
      </c>
      <c r="B85" s="7">
        <v>2</v>
      </c>
      <c r="C85" s="7">
        <v>8</v>
      </c>
    </row>
    <row r="86" spans="1:3" ht="16" x14ac:dyDescent="0.2">
      <c r="A86" s="48" t="s">
        <v>893</v>
      </c>
      <c r="B86" s="7">
        <v>2</v>
      </c>
      <c r="C86" s="7">
        <v>8</v>
      </c>
    </row>
    <row r="87" spans="1:3" ht="16" x14ac:dyDescent="0.2">
      <c r="A87" s="48" t="s">
        <v>902</v>
      </c>
      <c r="B87" s="7">
        <v>1.5</v>
      </c>
      <c r="C87" s="7">
        <v>8</v>
      </c>
    </row>
    <row r="88" spans="1:3" ht="16" x14ac:dyDescent="0.2">
      <c r="A88" s="48" t="s">
        <v>912</v>
      </c>
      <c r="B88" s="7">
        <v>2</v>
      </c>
      <c r="C88" s="7">
        <v>8</v>
      </c>
    </row>
    <row r="89" spans="1:3" ht="16" x14ac:dyDescent="0.2">
      <c r="A89" s="48" t="s">
        <v>921</v>
      </c>
      <c r="B89" s="7">
        <v>1</v>
      </c>
      <c r="C89" s="7">
        <v>8</v>
      </c>
    </row>
    <row r="90" spans="1:3" ht="16" x14ac:dyDescent="0.2">
      <c r="A90" s="48" t="s">
        <v>931</v>
      </c>
      <c r="B90" s="7">
        <v>2</v>
      </c>
      <c r="C90" s="7">
        <v>8</v>
      </c>
    </row>
    <row r="91" spans="1:3" ht="16" x14ac:dyDescent="0.2">
      <c r="A91" s="48" t="s">
        <v>941</v>
      </c>
      <c r="B91" s="7">
        <v>1</v>
      </c>
      <c r="C91" s="7">
        <v>8</v>
      </c>
    </row>
    <row r="92" spans="1:3" ht="16" x14ac:dyDescent="0.2">
      <c r="A92" s="48" t="s">
        <v>951</v>
      </c>
      <c r="B92" s="7">
        <v>1</v>
      </c>
      <c r="C92" s="7">
        <v>7</v>
      </c>
    </row>
    <row r="93" spans="1:3" ht="16" x14ac:dyDescent="0.2">
      <c r="A93" s="48" t="s">
        <v>961</v>
      </c>
      <c r="B93" s="7">
        <v>2</v>
      </c>
      <c r="C93" s="7">
        <v>8</v>
      </c>
    </row>
    <row r="94" spans="1:3" ht="16" x14ac:dyDescent="0.2">
      <c r="A94" s="48" t="s">
        <v>971</v>
      </c>
      <c r="B94" s="7">
        <v>2</v>
      </c>
      <c r="C94" s="7">
        <v>8</v>
      </c>
    </row>
    <row r="95" spans="1:3" ht="16" x14ac:dyDescent="0.2">
      <c r="A95" s="48" t="s">
        <v>981</v>
      </c>
      <c r="B95" s="7">
        <v>3</v>
      </c>
      <c r="C95" s="7">
        <v>7</v>
      </c>
    </row>
    <row r="96" spans="1:3" ht="16" x14ac:dyDescent="0.2">
      <c r="A96" s="48" t="s">
        <v>992</v>
      </c>
      <c r="B96" s="7">
        <v>2</v>
      </c>
      <c r="C96" s="7">
        <v>9</v>
      </c>
    </row>
    <row r="97" spans="1:3" ht="16" x14ac:dyDescent="0.2">
      <c r="A97" s="48" t="s">
        <v>1004</v>
      </c>
      <c r="B97" s="7">
        <v>3</v>
      </c>
      <c r="C97" s="7">
        <v>9</v>
      </c>
    </row>
    <row r="98" spans="1:3" ht="16" x14ac:dyDescent="0.2">
      <c r="A98" s="48" t="s">
        <v>1014</v>
      </c>
      <c r="B98" s="7">
        <v>3</v>
      </c>
      <c r="C98" s="7">
        <v>8</v>
      </c>
    </row>
    <row r="99" spans="1:3" ht="16" x14ac:dyDescent="0.2">
      <c r="A99" s="48" t="s">
        <v>1026</v>
      </c>
      <c r="B99" s="7">
        <v>3</v>
      </c>
      <c r="C99" s="7">
        <v>7</v>
      </c>
    </row>
    <row r="100" spans="1:3" ht="16" x14ac:dyDescent="0.2">
      <c r="A100" s="48" t="s">
        <v>1036</v>
      </c>
      <c r="B100" s="7">
        <v>3</v>
      </c>
      <c r="C100" s="7">
        <v>8</v>
      </c>
    </row>
    <row r="101" spans="1:3" ht="16" x14ac:dyDescent="0.2">
      <c r="A101" s="48" t="s">
        <v>1046</v>
      </c>
      <c r="B101" s="7">
        <v>4</v>
      </c>
      <c r="C101" s="7">
        <v>8</v>
      </c>
    </row>
    <row r="102" spans="1:3" ht="16" x14ac:dyDescent="0.2">
      <c r="A102" s="48" t="s">
        <v>1056</v>
      </c>
      <c r="B102" s="7">
        <v>3</v>
      </c>
      <c r="C102" s="7">
        <v>6</v>
      </c>
    </row>
    <row r="103" spans="1:3" ht="16" x14ac:dyDescent="0.2">
      <c r="A103" s="48" t="s">
        <v>1066</v>
      </c>
      <c r="B103" s="7">
        <v>2</v>
      </c>
      <c r="C103" s="7">
        <v>6</v>
      </c>
    </row>
    <row r="104" spans="1:3" ht="16" x14ac:dyDescent="0.2">
      <c r="A104" s="48" t="s">
        <v>1075</v>
      </c>
      <c r="B104" s="7">
        <v>3</v>
      </c>
      <c r="C104" s="7">
        <v>7</v>
      </c>
    </row>
  </sheetData>
  <mergeCells count="2">
    <mergeCell ref="A1:C1"/>
    <mergeCell ref="A2:C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1_Questionnaire</vt:lpstr>
      <vt:lpstr>2_MVP_Calculator</vt:lpstr>
      <vt:lpstr>3_Summary</vt:lpstr>
      <vt:lpstr>4_Prices</vt:lpstr>
      <vt:lpstr>5_Returns</vt:lpstr>
      <vt:lpstr>6_Statistics</vt:lpstr>
      <vt:lpstr>7_Frontier_ShortSale</vt:lpstr>
      <vt:lpstr>8_Frontier_NoShort</vt:lpstr>
      <vt:lpstr>9_Charts</vt:lpstr>
      <vt:lpstr>10_Question_Bank</vt:lpstr>
      <vt:lpstr>11_Scoring</vt:lpstr>
      <vt:lpstr>12_Optimizer</vt:lpstr>
      <vt:lpstr>13_Part_1_Data</vt:lpstr>
      <vt:lpstr>14_Methodology</vt:lpstr>
      <vt:lpstr>15_QID_Bounds</vt:lpstr>
      <vt:lpstr>Portfolio_Allocation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 Sing Lee</dc:creator>
  <cp:lastModifiedBy>Paul Gita Alekhya</cp:lastModifiedBy>
  <dcterms:created xsi:type="dcterms:W3CDTF">2020-09-09T17:48:42Z</dcterms:created>
  <dcterms:modified xsi:type="dcterms:W3CDTF">2026-04-23T20:54:00Z</dcterms:modified>
</cp:coreProperties>
</file>